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theme/themeOverride1.xml" ContentType="application/vnd.openxmlformats-officedocument.themeOverride+xml"/>
  <Override PartName="/xl/charts/chart5.xml" ContentType="application/vnd.openxmlformats-officedocument.drawingml.chart+xml"/>
  <Override PartName="/xl/drawings/drawing3.xml" ContentType="application/vnd.openxmlformats-officedocument.drawing+xml"/>
  <Override PartName="/xl/charts/chart6.xml" ContentType="application/vnd.openxmlformats-officedocument.drawingml.chart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omments1.xml" ContentType="application/vnd.openxmlformats-officedocument.spreadsheetml.comments+xml"/>
  <Override PartName="/xl/charts/chart7.xml" ContentType="application/vnd.openxmlformats-officedocument.drawingml.chart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omments2.xml" ContentType="application/vnd.openxmlformats-officedocument.spreadsheetml.comments+xml"/>
  <Override PartName="/xl/drawings/drawing11.xml" ContentType="application/vnd.openxmlformats-officedocument.drawing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57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Tasks\Work\"/>
    </mc:Choice>
  </mc:AlternateContent>
  <xr:revisionPtr revIDLastSave="0" documentId="13_ncr:40009_{6319B84F-4566-450C-8B4B-EC3B6EBC89A8}" xr6:coauthVersionLast="47" xr6:coauthVersionMax="47" xr10:uidLastSave="{00000000-0000-0000-0000-000000000000}"/>
  <bookViews>
    <workbookView xWindow="-120" yWindow="-120" windowWidth="20730" windowHeight="11160" firstSheet="1" activeTab="4"/>
  </bookViews>
  <sheets>
    <sheet name="Flip sheet" sheetId="33" r:id="rId1"/>
    <sheet name="Dashboard" sheetId="32" r:id="rId2"/>
    <sheet name="Graph" sheetId="31" r:id="rId3"/>
    <sheet name="IS" sheetId="8" r:id="rId4"/>
    <sheet name="BS" sheetId="13" r:id="rId5"/>
    <sheet name="CFS" sheetId="14" r:id="rId6"/>
    <sheet name="Sales Projection" sheetId="25" r:id="rId7"/>
    <sheet name="CS_1" sheetId="27" r:id="rId8"/>
    <sheet name="Comsize" sheetId="17" r:id="rId9"/>
    <sheet name="Ratios" sheetId="20" r:id="rId10"/>
    <sheet name="RV_Price" sheetId="21" r:id="rId11"/>
    <sheet name="Avgpri" sheetId="22" r:id="rId12"/>
    <sheet name="RV_Avgprice" sheetId="23" r:id="rId13"/>
    <sheet name="RV_EV" sheetId="24" r:id="rId14"/>
    <sheet name="DCF" sheetId="28" r:id="rId15"/>
    <sheet name="Price_Norm" sheetId="30" r:id="rId16"/>
    <sheet name="Regression" sheetId="26" r:id="rId17"/>
    <sheet name="Beta" sheetId="29" r:id="rId18"/>
  </sheet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I14" i="28" l="1"/>
  <c r="E21" i="17"/>
  <c r="F21" i="17"/>
  <c r="E23" i="17"/>
  <c r="F23" i="17"/>
  <c r="D23" i="17"/>
  <c r="D21" i="17"/>
  <c r="F15" i="17"/>
  <c r="K13" i="17" s="1"/>
  <c r="F18" i="17"/>
  <c r="F4" i="17"/>
  <c r="F5" i="17"/>
  <c r="F6" i="17"/>
  <c r="F7" i="17"/>
  <c r="F8" i="17"/>
  <c r="F9" i="17"/>
  <c r="F3" i="17"/>
  <c r="K12" i="17"/>
  <c r="K14" i="17"/>
  <c r="E35" i="20"/>
  <c r="E36" i="20" s="1"/>
  <c r="E37" i="20" s="1"/>
  <c r="E38" i="20" s="1"/>
  <c r="F35" i="20"/>
  <c r="F36" i="20" s="1"/>
  <c r="D35" i="20"/>
  <c r="D36" i="20" s="1"/>
  <c r="D37" i="20" s="1"/>
  <c r="D38" i="20" s="1"/>
  <c r="E33" i="20"/>
  <c r="E34" i="20"/>
  <c r="F33" i="20"/>
  <c r="F34" i="20" s="1"/>
  <c r="D33" i="20"/>
  <c r="D34" i="20"/>
  <c r="E31" i="20"/>
  <c r="E32" i="20"/>
  <c r="F31" i="20"/>
  <c r="F32" i="20" s="1"/>
  <c r="D31" i="20"/>
  <c r="D32" i="20"/>
  <c r="J23" i="8"/>
  <c r="K23" i="8"/>
  <c r="I23" i="8"/>
  <c r="E9" i="20"/>
  <c r="C17" i="8"/>
  <c r="D9" i="20" s="1"/>
  <c r="D17" i="8"/>
  <c r="E17" i="8"/>
  <c r="K17" i="8" s="1"/>
  <c r="B17" i="8"/>
  <c r="C9" i="20" s="1"/>
  <c r="F17" i="8"/>
  <c r="G17" i="8" s="1"/>
  <c r="H17" i="8" s="1"/>
  <c r="J17" i="8"/>
  <c r="F9" i="20"/>
  <c r="I9" i="20" s="1"/>
  <c r="I17" i="8"/>
  <c r="G9" i="20"/>
  <c r="O25" i="28"/>
  <c r="O26" i="28" s="1"/>
  <c r="O27" i="28" s="1"/>
  <c r="O28" i="28"/>
  <c r="O29" i="28" s="1"/>
  <c r="O30" i="28" s="1"/>
  <c r="O31" i="28" s="1"/>
  <c r="O32" i="28" s="1"/>
  <c r="O33" i="28" s="1"/>
  <c r="O34" i="28" s="1"/>
  <c r="O35" i="28" s="1"/>
  <c r="O36" i="28" s="1"/>
  <c r="Q23" i="28"/>
  <c r="R23" i="28" s="1"/>
  <c r="S23" i="28" s="1"/>
  <c r="T23" i="28" s="1"/>
  <c r="U23" i="28" s="1"/>
  <c r="C3" i="30"/>
  <c r="I4" i="30" s="1"/>
  <c r="V23" i="28"/>
  <c r="W23" i="28" s="1"/>
  <c r="X23" i="28" s="1"/>
  <c r="Y23" i="28" s="1"/>
  <c r="I15" i="30"/>
  <c r="I5" i="30"/>
  <c r="I21" i="30"/>
  <c r="F27" i="8"/>
  <c r="G27" i="8"/>
  <c r="G26" i="8"/>
  <c r="H26" i="8"/>
  <c r="F26" i="8"/>
  <c r="F28" i="8" s="1"/>
  <c r="F23" i="8" s="1"/>
  <c r="I28" i="28"/>
  <c r="L29" i="28" s="1"/>
  <c r="H27" i="8"/>
  <c r="E253" i="29"/>
  <c r="D253" i="29"/>
  <c r="E252" i="29"/>
  <c r="D252" i="29"/>
  <c r="E251" i="29"/>
  <c r="D251" i="29"/>
  <c r="E250" i="29"/>
  <c r="D250" i="29"/>
  <c r="E249" i="29"/>
  <c r="D249" i="29"/>
  <c r="E248" i="29"/>
  <c r="D248" i="29"/>
  <c r="E247" i="29"/>
  <c r="D247" i="29"/>
  <c r="E246" i="29"/>
  <c r="D246" i="29"/>
  <c r="E245" i="29"/>
  <c r="D245" i="29"/>
  <c r="E244" i="29"/>
  <c r="D244" i="29"/>
  <c r="E243" i="29"/>
  <c r="D243" i="29"/>
  <c r="E242" i="29"/>
  <c r="D242" i="29"/>
  <c r="E241" i="29"/>
  <c r="D241" i="29"/>
  <c r="E240" i="29"/>
  <c r="D240" i="29"/>
  <c r="E239" i="29"/>
  <c r="D239" i="29"/>
  <c r="E238" i="29"/>
  <c r="D238" i="29"/>
  <c r="E237" i="29"/>
  <c r="D237" i="29"/>
  <c r="E236" i="29"/>
  <c r="D236" i="29"/>
  <c r="E235" i="29"/>
  <c r="D235" i="29"/>
  <c r="E234" i="29"/>
  <c r="D234" i="29"/>
  <c r="E233" i="29"/>
  <c r="D233" i="29"/>
  <c r="E232" i="29"/>
  <c r="D232" i="29"/>
  <c r="E231" i="29"/>
  <c r="D231" i="29"/>
  <c r="E230" i="29"/>
  <c r="D230" i="29"/>
  <c r="E229" i="29"/>
  <c r="D229" i="29"/>
  <c r="E228" i="29"/>
  <c r="D228" i="29"/>
  <c r="E227" i="29"/>
  <c r="D227" i="29"/>
  <c r="E226" i="29"/>
  <c r="D226" i="29"/>
  <c r="E225" i="29"/>
  <c r="D225" i="29"/>
  <c r="E224" i="29"/>
  <c r="D224" i="29"/>
  <c r="E223" i="29"/>
  <c r="D223" i="29"/>
  <c r="E222" i="29"/>
  <c r="D222" i="29"/>
  <c r="E221" i="29"/>
  <c r="D221" i="29"/>
  <c r="E220" i="29"/>
  <c r="D220" i="29"/>
  <c r="E219" i="29"/>
  <c r="D219" i="29"/>
  <c r="E218" i="29"/>
  <c r="D218" i="29"/>
  <c r="E217" i="29"/>
  <c r="D217" i="29"/>
  <c r="E216" i="29"/>
  <c r="D216" i="29"/>
  <c r="E215" i="29"/>
  <c r="D215" i="29"/>
  <c r="E214" i="29"/>
  <c r="D214" i="29"/>
  <c r="E213" i="29"/>
  <c r="D213" i="29"/>
  <c r="E212" i="29"/>
  <c r="D212" i="29"/>
  <c r="E211" i="29"/>
  <c r="D211" i="29"/>
  <c r="E210" i="29"/>
  <c r="D210" i="29"/>
  <c r="E209" i="29"/>
  <c r="D209" i="29"/>
  <c r="E208" i="29"/>
  <c r="D208" i="29"/>
  <c r="E207" i="29"/>
  <c r="D207" i="29"/>
  <c r="E206" i="29"/>
  <c r="D206" i="29"/>
  <c r="E205" i="29"/>
  <c r="D205" i="29"/>
  <c r="E204" i="29"/>
  <c r="D204" i="29"/>
  <c r="E203" i="29"/>
  <c r="D203" i="29"/>
  <c r="E202" i="29"/>
  <c r="D202" i="29"/>
  <c r="E201" i="29"/>
  <c r="D201" i="29"/>
  <c r="E200" i="29"/>
  <c r="D200" i="29"/>
  <c r="E199" i="29"/>
  <c r="D199" i="29"/>
  <c r="E198" i="29"/>
  <c r="D198" i="29"/>
  <c r="E197" i="29"/>
  <c r="D197" i="29"/>
  <c r="E196" i="29"/>
  <c r="D196" i="29"/>
  <c r="E195" i="29"/>
  <c r="D195" i="29"/>
  <c r="E194" i="29"/>
  <c r="D194" i="29"/>
  <c r="E193" i="29"/>
  <c r="D193" i="29"/>
  <c r="E192" i="29"/>
  <c r="D192" i="29"/>
  <c r="E191" i="29"/>
  <c r="D191" i="29"/>
  <c r="E190" i="29"/>
  <c r="D190" i="29"/>
  <c r="E189" i="29"/>
  <c r="D189" i="29"/>
  <c r="E188" i="29"/>
  <c r="D188" i="29"/>
  <c r="E187" i="29"/>
  <c r="D187" i="29"/>
  <c r="E186" i="29"/>
  <c r="D186" i="29"/>
  <c r="E185" i="29"/>
  <c r="D185" i="29"/>
  <c r="E184" i="29"/>
  <c r="D184" i="29"/>
  <c r="E183" i="29"/>
  <c r="D183" i="29"/>
  <c r="E182" i="29"/>
  <c r="D182" i="29"/>
  <c r="E181" i="29"/>
  <c r="D181" i="29"/>
  <c r="E180" i="29"/>
  <c r="D180" i="29"/>
  <c r="E179" i="29"/>
  <c r="D179" i="29"/>
  <c r="E178" i="29"/>
  <c r="D178" i="29"/>
  <c r="E177" i="29"/>
  <c r="D177" i="29"/>
  <c r="E176" i="29"/>
  <c r="D176" i="29"/>
  <c r="E175" i="29"/>
  <c r="D175" i="29"/>
  <c r="E174" i="29"/>
  <c r="D174" i="29"/>
  <c r="E173" i="29"/>
  <c r="D173" i="29"/>
  <c r="E172" i="29"/>
  <c r="D172" i="29"/>
  <c r="E171" i="29"/>
  <c r="D171" i="29"/>
  <c r="E170" i="29"/>
  <c r="D170" i="29"/>
  <c r="E169" i="29"/>
  <c r="D169" i="29"/>
  <c r="E168" i="29"/>
  <c r="D168" i="29"/>
  <c r="E167" i="29"/>
  <c r="D167" i="29"/>
  <c r="E166" i="29"/>
  <c r="D166" i="29"/>
  <c r="E165" i="29"/>
  <c r="D165" i="29"/>
  <c r="E164" i="29"/>
  <c r="D164" i="29"/>
  <c r="E163" i="29"/>
  <c r="D163" i="29"/>
  <c r="E162" i="29"/>
  <c r="D162" i="29"/>
  <c r="E161" i="29"/>
  <c r="D161" i="29"/>
  <c r="E160" i="29"/>
  <c r="D160" i="29"/>
  <c r="E159" i="29"/>
  <c r="D159" i="29"/>
  <c r="E158" i="29"/>
  <c r="D158" i="29"/>
  <c r="E157" i="29"/>
  <c r="D157" i="29"/>
  <c r="E156" i="29"/>
  <c r="D156" i="29"/>
  <c r="E155" i="29"/>
  <c r="D155" i="29"/>
  <c r="E154" i="29"/>
  <c r="D154" i="29"/>
  <c r="E153" i="29"/>
  <c r="D153" i="29"/>
  <c r="E152" i="29"/>
  <c r="D152" i="29"/>
  <c r="E151" i="29"/>
  <c r="D151" i="29"/>
  <c r="E150" i="29"/>
  <c r="D150" i="29"/>
  <c r="E149" i="29"/>
  <c r="D149" i="29"/>
  <c r="E148" i="29"/>
  <c r="D148" i="29"/>
  <c r="E147" i="29"/>
  <c r="D147" i="29"/>
  <c r="E146" i="29"/>
  <c r="D146" i="29"/>
  <c r="E145" i="29"/>
  <c r="D145" i="29"/>
  <c r="E144" i="29"/>
  <c r="D144" i="29"/>
  <c r="E143" i="29"/>
  <c r="D143" i="29"/>
  <c r="E142" i="29"/>
  <c r="D142" i="29"/>
  <c r="E141" i="29"/>
  <c r="D141" i="29"/>
  <c r="E140" i="29"/>
  <c r="D140" i="29"/>
  <c r="E139" i="29"/>
  <c r="D139" i="29"/>
  <c r="E138" i="29"/>
  <c r="D138" i="29"/>
  <c r="E137" i="29"/>
  <c r="D137" i="29"/>
  <c r="E136" i="29"/>
  <c r="D136" i="29"/>
  <c r="E135" i="29"/>
  <c r="D135" i="29"/>
  <c r="E134" i="29"/>
  <c r="D134" i="29"/>
  <c r="E133" i="29"/>
  <c r="D133" i="29"/>
  <c r="E132" i="29"/>
  <c r="D132" i="29"/>
  <c r="E131" i="29"/>
  <c r="D131" i="29"/>
  <c r="E130" i="29"/>
  <c r="D130" i="29"/>
  <c r="E129" i="29"/>
  <c r="D129" i="29"/>
  <c r="E128" i="29"/>
  <c r="D128" i="29"/>
  <c r="E127" i="29"/>
  <c r="D127" i="29"/>
  <c r="E126" i="29"/>
  <c r="D126" i="29"/>
  <c r="E125" i="29"/>
  <c r="D125" i="29"/>
  <c r="E124" i="29"/>
  <c r="D124" i="29"/>
  <c r="E123" i="29"/>
  <c r="D123" i="29"/>
  <c r="E122" i="29"/>
  <c r="D122" i="29"/>
  <c r="E121" i="29"/>
  <c r="D121" i="29"/>
  <c r="E120" i="29"/>
  <c r="D120" i="29"/>
  <c r="E119" i="29"/>
  <c r="D119" i="29"/>
  <c r="E118" i="29"/>
  <c r="D118" i="29"/>
  <c r="E117" i="29"/>
  <c r="D117" i="29"/>
  <c r="E116" i="29"/>
  <c r="D116" i="29"/>
  <c r="E115" i="29"/>
  <c r="D115" i="29"/>
  <c r="E114" i="29"/>
  <c r="D114" i="29"/>
  <c r="E113" i="29"/>
  <c r="D113" i="29"/>
  <c r="E112" i="29"/>
  <c r="D112" i="29"/>
  <c r="E111" i="29"/>
  <c r="D111" i="29"/>
  <c r="E110" i="29"/>
  <c r="D110" i="29"/>
  <c r="E109" i="29"/>
  <c r="D109" i="29"/>
  <c r="E108" i="29"/>
  <c r="D108" i="29"/>
  <c r="E107" i="29"/>
  <c r="D107" i="29"/>
  <c r="E106" i="29"/>
  <c r="D106" i="29"/>
  <c r="E105" i="29"/>
  <c r="D105" i="29"/>
  <c r="E104" i="29"/>
  <c r="D104" i="29"/>
  <c r="E103" i="29"/>
  <c r="D103" i="29"/>
  <c r="E102" i="29"/>
  <c r="D102" i="29"/>
  <c r="E101" i="29"/>
  <c r="D101" i="29"/>
  <c r="E100" i="29"/>
  <c r="D100" i="29"/>
  <c r="E99" i="29"/>
  <c r="D99" i="29"/>
  <c r="E98" i="29"/>
  <c r="D98" i="29"/>
  <c r="E97" i="29"/>
  <c r="D97" i="29"/>
  <c r="E96" i="29"/>
  <c r="D96" i="29"/>
  <c r="E95" i="29"/>
  <c r="D95" i="29"/>
  <c r="E94" i="29"/>
  <c r="D94" i="29"/>
  <c r="E93" i="29"/>
  <c r="D93" i="29"/>
  <c r="E92" i="29"/>
  <c r="D92" i="29"/>
  <c r="E91" i="29"/>
  <c r="D91" i="29"/>
  <c r="E90" i="29"/>
  <c r="D90" i="29"/>
  <c r="E89" i="29"/>
  <c r="D89" i="29"/>
  <c r="E88" i="29"/>
  <c r="D88" i="29"/>
  <c r="E87" i="29"/>
  <c r="D87" i="29"/>
  <c r="E86" i="29"/>
  <c r="D86" i="29"/>
  <c r="E85" i="29"/>
  <c r="D85" i="29"/>
  <c r="E84" i="29"/>
  <c r="D84" i="29"/>
  <c r="E83" i="29"/>
  <c r="D83" i="29"/>
  <c r="E82" i="29"/>
  <c r="D82" i="29"/>
  <c r="E81" i="29"/>
  <c r="D81" i="29"/>
  <c r="E80" i="29"/>
  <c r="D80" i="29"/>
  <c r="E79" i="29"/>
  <c r="D79" i="29"/>
  <c r="E78" i="29"/>
  <c r="D78" i="29"/>
  <c r="E77" i="29"/>
  <c r="D77" i="29"/>
  <c r="E76" i="29"/>
  <c r="D76" i="29"/>
  <c r="E75" i="29"/>
  <c r="D75" i="29"/>
  <c r="E74" i="29"/>
  <c r="D74" i="29"/>
  <c r="E73" i="29"/>
  <c r="D73" i="29"/>
  <c r="E72" i="29"/>
  <c r="D72" i="29"/>
  <c r="E71" i="29"/>
  <c r="D71" i="29"/>
  <c r="E70" i="29"/>
  <c r="D70" i="29"/>
  <c r="E69" i="29"/>
  <c r="D69" i="29"/>
  <c r="E68" i="29"/>
  <c r="D68" i="29"/>
  <c r="E67" i="29"/>
  <c r="D67" i="29"/>
  <c r="E66" i="29"/>
  <c r="D66" i="29"/>
  <c r="E65" i="29"/>
  <c r="D65" i="29"/>
  <c r="E64" i="29"/>
  <c r="D64" i="29"/>
  <c r="E63" i="29"/>
  <c r="D63" i="29"/>
  <c r="E62" i="29"/>
  <c r="D62" i="29"/>
  <c r="E61" i="29"/>
  <c r="D61" i="29"/>
  <c r="E60" i="29"/>
  <c r="D60" i="29"/>
  <c r="E59" i="29"/>
  <c r="D59" i="29"/>
  <c r="E58" i="29"/>
  <c r="D58" i="29"/>
  <c r="E57" i="29"/>
  <c r="D57" i="29"/>
  <c r="E56" i="29"/>
  <c r="D56" i="29"/>
  <c r="E55" i="29"/>
  <c r="D55" i="29"/>
  <c r="E54" i="29"/>
  <c r="D54" i="29"/>
  <c r="E53" i="29"/>
  <c r="D53" i="29"/>
  <c r="E52" i="29"/>
  <c r="D52" i="29"/>
  <c r="E51" i="29"/>
  <c r="D51" i="29"/>
  <c r="E50" i="29"/>
  <c r="D50" i="29"/>
  <c r="E49" i="29"/>
  <c r="D49" i="29"/>
  <c r="E48" i="29"/>
  <c r="D48" i="29"/>
  <c r="E47" i="29"/>
  <c r="D47" i="29"/>
  <c r="E46" i="29"/>
  <c r="D46" i="29"/>
  <c r="E45" i="29"/>
  <c r="D45" i="29"/>
  <c r="E44" i="29"/>
  <c r="D44" i="29"/>
  <c r="E43" i="29"/>
  <c r="D43" i="29"/>
  <c r="E42" i="29"/>
  <c r="D42" i="29"/>
  <c r="E41" i="29"/>
  <c r="D41" i="29"/>
  <c r="E40" i="29"/>
  <c r="D40" i="29"/>
  <c r="E39" i="29"/>
  <c r="D39" i="29"/>
  <c r="E38" i="29"/>
  <c r="D38" i="29"/>
  <c r="E37" i="29"/>
  <c r="D37" i="29"/>
  <c r="E36" i="29"/>
  <c r="D36" i="29"/>
  <c r="E35" i="29"/>
  <c r="D35" i="29"/>
  <c r="E34" i="29"/>
  <c r="D34" i="29"/>
  <c r="E33" i="29"/>
  <c r="D33" i="29"/>
  <c r="E32" i="29"/>
  <c r="D32" i="29"/>
  <c r="E31" i="29"/>
  <c r="D31" i="29"/>
  <c r="E30" i="29"/>
  <c r="D30" i="29"/>
  <c r="E29" i="29"/>
  <c r="D29" i="29"/>
  <c r="E28" i="29"/>
  <c r="D28" i="29"/>
  <c r="E27" i="29"/>
  <c r="D27" i="29"/>
  <c r="E26" i="29"/>
  <c r="D26" i="29"/>
  <c r="E25" i="29"/>
  <c r="D25" i="29"/>
  <c r="E24" i="29"/>
  <c r="D24" i="29"/>
  <c r="E23" i="29"/>
  <c r="D23" i="29"/>
  <c r="E22" i="29"/>
  <c r="D22" i="29"/>
  <c r="E21" i="29"/>
  <c r="D21" i="29"/>
  <c r="E20" i="29"/>
  <c r="D20" i="29"/>
  <c r="E19" i="29"/>
  <c r="D19" i="29"/>
  <c r="E18" i="29"/>
  <c r="D18" i="29"/>
  <c r="E17" i="29"/>
  <c r="D17" i="29"/>
  <c r="E16" i="29"/>
  <c r="D16" i="29"/>
  <c r="E15" i="29"/>
  <c r="D15" i="29"/>
  <c r="E14" i="29"/>
  <c r="D14" i="29"/>
  <c r="E13" i="29"/>
  <c r="D13" i="29"/>
  <c r="E12" i="29"/>
  <c r="D12" i="29"/>
  <c r="E11" i="29"/>
  <c r="D11" i="29"/>
  <c r="E10" i="29"/>
  <c r="D10" i="29"/>
  <c r="E9" i="29"/>
  <c r="D9" i="29"/>
  <c r="E8" i="29"/>
  <c r="D8" i="29"/>
  <c r="E7" i="29"/>
  <c r="D7" i="29"/>
  <c r="E6" i="29"/>
  <c r="D6" i="29"/>
  <c r="E5" i="29"/>
  <c r="D5" i="29"/>
  <c r="E4" i="29"/>
  <c r="D4" i="29"/>
  <c r="E3" i="29"/>
  <c r="D3" i="29"/>
  <c r="E33" i="26"/>
  <c r="E13" i="26"/>
  <c r="L19" i="28"/>
  <c r="I8" i="28"/>
  <c r="I10" i="28" s="1"/>
  <c r="I17" i="28"/>
  <c r="L9" i="28"/>
  <c r="L7" i="28"/>
  <c r="E6" i="28"/>
  <c r="F6" i="28" s="1"/>
  <c r="B36" i="24"/>
  <c r="D36" i="24" s="1"/>
  <c r="J35" i="24"/>
  <c r="I35" i="24"/>
  <c r="H35" i="24"/>
  <c r="G35" i="24"/>
  <c r="B35" i="24"/>
  <c r="D35" i="24" s="1"/>
  <c r="J34" i="24"/>
  <c r="I34" i="24"/>
  <c r="H34" i="24"/>
  <c r="G34" i="24"/>
  <c r="B34" i="24"/>
  <c r="D34" i="24"/>
  <c r="B33" i="24"/>
  <c r="D33" i="24" s="1"/>
  <c r="C13" i="24"/>
  <c r="R8" i="24"/>
  <c r="Q8" i="24"/>
  <c r="P8" i="24"/>
  <c r="D8" i="24"/>
  <c r="G8" i="24" s="1"/>
  <c r="C15" i="24" s="1"/>
  <c r="R7" i="24"/>
  <c r="Q7" i="24"/>
  <c r="P7" i="24"/>
  <c r="G7" i="24"/>
  <c r="D7" i="24"/>
  <c r="R6" i="24"/>
  <c r="Q6" i="24"/>
  <c r="D6" i="24"/>
  <c r="G6" i="24"/>
  <c r="E13" i="24" s="1"/>
  <c r="R5" i="24"/>
  <c r="Q5" i="24"/>
  <c r="D5" i="24"/>
  <c r="G5" i="24"/>
  <c r="B12" i="24" s="1"/>
  <c r="R4" i="24"/>
  <c r="Q4" i="24"/>
  <c r="D4" i="24"/>
  <c r="G4" i="24"/>
  <c r="C15" i="23"/>
  <c r="B15" i="23"/>
  <c r="J14" i="23"/>
  <c r="I14" i="23"/>
  <c r="B14" i="23"/>
  <c r="E13" i="23"/>
  <c r="B13" i="23"/>
  <c r="B12" i="23"/>
  <c r="B11" i="23"/>
  <c r="G25" i="23"/>
  <c r="J8" i="23"/>
  <c r="E15" i="23" s="1"/>
  <c r="I8" i="23"/>
  <c r="D15" i="23"/>
  <c r="H8" i="23"/>
  <c r="J7" i="23"/>
  <c r="E14" i="23" s="1"/>
  <c r="I7" i="23"/>
  <c r="D14" i="23" s="1"/>
  <c r="H7" i="23"/>
  <c r="C14" i="23" s="1"/>
  <c r="J6" i="23"/>
  <c r="I6" i="23"/>
  <c r="D13" i="23" s="1"/>
  <c r="H6" i="23"/>
  <c r="C13" i="23" s="1"/>
  <c r="J5" i="23"/>
  <c r="E12" i="23"/>
  <c r="I5" i="23"/>
  <c r="D12" i="23" s="1"/>
  <c r="H5" i="23"/>
  <c r="C12" i="23" s="1"/>
  <c r="J4" i="23"/>
  <c r="E11" i="23" s="1"/>
  <c r="I4" i="23"/>
  <c r="D11" i="23" s="1"/>
  <c r="H4" i="23"/>
  <c r="C11" i="23"/>
  <c r="H26" i="23" s="1"/>
  <c r="I6" i="22"/>
  <c r="I5" i="22"/>
  <c r="I4" i="22"/>
  <c r="I3" i="22"/>
  <c r="I2" i="22"/>
  <c r="E15" i="21"/>
  <c r="B15" i="21"/>
  <c r="J14" i="21"/>
  <c r="I14" i="21"/>
  <c r="B14" i="21"/>
  <c r="C13" i="21"/>
  <c r="B13" i="21"/>
  <c r="B12" i="21"/>
  <c r="B11" i="21"/>
  <c r="J8" i="21"/>
  <c r="I8" i="21"/>
  <c r="D15" i="21" s="1"/>
  <c r="H8" i="21"/>
  <c r="C15" i="21" s="1"/>
  <c r="J7" i="21"/>
  <c r="E14" i="21"/>
  <c r="I7" i="21"/>
  <c r="D14" i="21" s="1"/>
  <c r="H7" i="21"/>
  <c r="C14" i="21" s="1"/>
  <c r="J6" i="21"/>
  <c r="E13" i="21" s="1"/>
  <c r="I6" i="21"/>
  <c r="D13" i="21"/>
  <c r="H6" i="21"/>
  <c r="J5" i="21"/>
  <c r="E12" i="21"/>
  <c r="I5" i="21"/>
  <c r="D12" i="21" s="1"/>
  <c r="H5" i="21"/>
  <c r="C12" i="21"/>
  <c r="J4" i="21"/>
  <c r="E11" i="21" s="1"/>
  <c r="I4" i="21"/>
  <c r="D11" i="21" s="1"/>
  <c r="H4" i="21"/>
  <c r="C11" i="21" s="1"/>
  <c r="E10" i="20"/>
  <c r="B24" i="17"/>
  <c r="B22" i="17"/>
  <c r="B20" i="17"/>
  <c r="B19" i="17"/>
  <c r="E18" i="17"/>
  <c r="D18" i="17"/>
  <c r="B18" i="17"/>
  <c r="J15" i="17"/>
  <c r="I15" i="17"/>
  <c r="E15" i="17"/>
  <c r="D15" i="17"/>
  <c r="I12" i="17" s="1"/>
  <c r="I14" i="17"/>
  <c r="C15" i="17"/>
  <c r="H15" i="17" s="1"/>
  <c r="J14" i="17"/>
  <c r="J13" i="17"/>
  <c r="I13" i="17"/>
  <c r="J12" i="17"/>
  <c r="H12" i="17"/>
  <c r="E9" i="17"/>
  <c r="D9" i="17"/>
  <c r="C9" i="17"/>
  <c r="B9" i="17"/>
  <c r="E8" i="17"/>
  <c r="D8" i="17"/>
  <c r="C8" i="17"/>
  <c r="B8" i="17"/>
  <c r="E7" i="17"/>
  <c r="D7" i="17"/>
  <c r="C7" i="17"/>
  <c r="B7" i="17"/>
  <c r="E6" i="17"/>
  <c r="D6" i="17"/>
  <c r="C6" i="17"/>
  <c r="B6" i="17"/>
  <c r="E5" i="17"/>
  <c r="D5" i="17"/>
  <c r="C5" i="17"/>
  <c r="B5" i="17"/>
  <c r="E4" i="17"/>
  <c r="D4" i="17"/>
  <c r="C4" i="17"/>
  <c r="B4" i="17"/>
  <c r="E3" i="17"/>
  <c r="D3" i="17"/>
  <c r="C3" i="17"/>
  <c r="B3" i="17"/>
  <c r="B2" i="17"/>
  <c r="E39" i="14"/>
  <c r="E41" i="14" s="1"/>
  <c r="E43" i="14"/>
  <c r="F42" i="14" s="1"/>
  <c r="D39" i="14"/>
  <c r="C39" i="14"/>
  <c r="B39" i="14"/>
  <c r="B41" i="14" s="1"/>
  <c r="B43" i="14" s="1"/>
  <c r="E31" i="14"/>
  <c r="D31" i="14"/>
  <c r="C31" i="14"/>
  <c r="B31" i="14"/>
  <c r="F30" i="14"/>
  <c r="G30" i="14" s="1"/>
  <c r="H30" i="14" s="1"/>
  <c r="F29" i="14"/>
  <c r="G29" i="14" s="1"/>
  <c r="H29" i="14" s="1"/>
  <c r="F28" i="14"/>
  <c r="G28" i="14" s="1"/>
  <c r="H28" i="14" s="1"/>
  <c r="F25" i="14"/>
  <c r="G25" i="14" s="1"/>
  <c r="H25" i="14" s="1"/>
  <c r="F24" i="14"/>
  <c r="G24" i="14"/>
  <c r="H24" i="14" s="1"/>
  <c r="F23" i="14"/>
  <c r="G23" i="14" s="1"/>
  <c r="H23" i="14" s="1"/>
  <c r="E21" i="14"/>
  <c r="D21" i="14"/>
  <c r="C21" i="14"/>
  <c r="B21" i="14"/>
  <c r="F10" i="14"/>
  <c r="G10" i="14" s="1"/>
  <c r="H10" i="14" s="1"/>
  <c r="F2" i="14"/>
  <c r="G2" i="14"/>
  <c r="H2" i="14" s="1"/>
  <c r="D2" i="14"/>
  <c r="E2" i="14" s="1"/>
  <c r="F38" i="13"/>
  <c r="E38" i="13"/>
  <c r="D38" i="13"/>
  <c r="C38" i="13"/>
  <c r="B38" i="13"/>
  <c r="G37" i="13"/>
  <c r="G35" i="13"/>
  <c r="F27" i="14" s="1"/>
  <c r="G27" i="14" s="1"/>
  <c r="F35" i="13"/>
  <c r="C33" i="13"/>
  <c r="E26" i="13"/>
  <c r="E33" i="13"/>
  <c r="D26" i="13"/>
  <c r="D33" i="13" s="1"/>
  <c r="C26" i="13"/>
  <c r="B26" i="13"/>
  <c r="B33" i="13"/>
  <c r="E6" i="13"/>
  <c r="E10" i="13"/>
  <c r="D6" i="13"/>
  <c r="D10" i="13" s="1"/>
  <c r="E5" i="20" s="1"/>
  <c r="C6" i="13"/>
  <c r="C10" i="13" s="1"/>
  <c r="D4" i="20" s="1"/>
  <c r="B6" i="13"/>
  <c r="B10" i="13" s="1"/>
  <c r="F2" i="13"/>
  <c r="G2" i="13" s="1"/>
  <c r="H2" i="13" s="1"/>
  <c r="E87" i="27"/>
  <c r="I16" i="28" s="1"/>
  <c r="D87" i="27"/>
  <c r="C87" i="27"/>
  <c r="B87" i="27"/>
  <c r="E84" i="27"/>
  <c r="D84" i="27"/>
  <c r="C84" i="27"/>
  <c r="B84" i="27"/>
  <c r="F73" i="27"/>
  <c r="G73" i="27"/>
  <c r="H73" i="27"/>
  <c r="F71" i="27"/>
  <c r="G71" i="27" s="1"/>
  <c r="H71" i="27"/>
  <c r="C68" i="27"/>
  <c r="D68" i="27" s="1"/>
  <c r="E68" i="27" s="1"/>
  <c r="F68" i="27"/>
  <c r="G68" i="27"/>
  <c r="H68" i="27" s="1"/>
  <c r="E65" i="27"/>
  <c r="F65" i="27"/>
  <c r="D65" i="27"/>
  <c r="C65" i="27"/>
  <c r="B65" i="27"/>
  <c r="E63" i="27"/>
  <c r="E64" i="27"/>
  <c r="F64" i="27" s="1"/>
  <c r="G64" i="27" s="1"/>
  <c r="H64" i="27"/>
  <c r="D63" i="27"/>
  <c r="D64" i="27" s="1"/>
  <c r="C63" i="27"/>
  <c r="C64" i="27"/>
  <c r="B63" i="27"/>
  <c r="B64" i="27" s="1"/>
  <c r="E61" i="27"/>
  <c r="D61" i="27"/>
  <c r="C61" i="27"/>
  <c r="B61" i="27"/>
  <c r="E58" i="27"/>
  <c r="F58" i="27" s="1"/>
  <c r="G58" i="27" s="1"/>
  <c r="H58" i="27" s="1"/>
  <c r="C58" i="27"/>
  <c r="D58" i="27" s="1"/>
  <c r="E57" i="27"/>
  <c r="D57" i="27"/>
  <c r="C57" i="27"/>
  <c r="E55" i="27"/>
  <c r="F55" i="27"/>
  <c r="G55" i="27" s="1"/>
  <c r="H55" i="27" s="1"/>
  <c r="D55" i="27"/>
  <c r="C55" i="27"/>
  <c r="B55" i="27"/>
  <c r="E53" i="27"/>
  <c r="F53" i="27"/>
  <c r="G53" i="27" s="1"/>
  <c r="H53" i="27" s="1"/>
  <c r="D53" i="27"/>
  <c r="C53" i="27"/>
  <c r="B53" i="27"/>
  <c r="E51" i="27"/>
  <c r="F51" i="27" s="1"/>
  <c r="G51" i="27"/>
  <c r="H51" i="27"/>
  <c r="D51" i="27"/>
  <c r="C51" i="27"/>
  <c r="B51" i="27"/>
  <c r="E49" i="27"/>
  <c r="F49" i="27" s="1"/>
  <c r="G49" i="27" s="1"/>
  <c r="H49" i="27"/>
  <c r="D49" i="27"/>
  <c r="C49" i="27"/>
  <c r="B49" i="27"/>
  <c r="E46" i="27"/>
  <c r="D46" i="27"/>
  <c r="C46" i="27"/>
  <c r="B46" i="27"/>
  <c r="E45" i="27"/>
  <c r="F31" i="13" s="1"/>
  <c r="D45" i="27"/>
  <c r="C45" i="27"/>
  <c r="B45" i="27"/>
  <c r="E44" i="27"/>
  <c r="D44" i="27"/>
  <c r="C44" i="27"/>
  <c r="B44" i="27"/>
  <c r="E43" i="27"/>
  <c r="F29" i="13" s="1"/>
  <c r="D43" i="27"/>
  <c r="C43" i="27"/>
  <c r="B43" i="27"/>
  <c r="E42" i="27"/>
  <c r="D42" i="27"/>
  <c r="C42" i="27"/>
  <c r="B42" i="27"/>
  <c r="E41" i="27"/>
  <c r="F27" i="13" s="1"/>
  <c r="D41" i="27"/>
  <c r="C41" i="27"/>
  <c r="B41" i="27"/>
  <c r="E40" i="27"/>
  <c r="D40" i="27"/>
  <c r="C40" i="27"/>
  <c r="B40" i="27"/>
  <c r="E39" i="27"/>
  <c r="F15" i="13"/>
  <c r="D39" i="27"/>
  <c r="C39" i="27"/>
  <c r="B39" i="27"/>
  <c r="E38" i="27"/>
  <c r="D38" i="27"/>
  <c r="C38" i="27"/>
  <c r="B38" i="27"/>
  <c r="E37" i="27"/>
  <c r="F13" i="13"/>
  <c r="D37" i="27"/>
  <c r="C37" i="27"/>
  <c r="B37" i="27"/>
  <c r="E36" i="27"/>
  <c r="D36" i="27"/>
  <c r="C36" i="27"/>
  <c r="B36" i="27"/>
  <c r="E35" i="27"/>
  <c r="F11" i="13" s="1"/>
  <c r="D35" i="27"/>
  <c r="C35" i="27"/>
  <c r="B35" i="27"/>
  <c r="E33" i="27"/>
  <c r="D33" i="27"/>
  <c r="C33" i="27"/>
  <c r="B33" i="27"/>
  <c r="E32" i="27"/>
  <c r="F24" i="13" s="1"/>
  <c r="D32" i="27"/>
  <c r="C32" i="27"/>
  <c r="B32" i="27"/>
  <c r="E31" i="27"/>
  <c r="F23" i="13"/>
  <c r="D31" i="27"/>
  <c r="C31" i="27"/>
  <c r="B31" i="27"/>
  <c r="E30" i="27"/>
  <c r="F22" i="13" s="1"/>
  <c r="D30" i="27"/>
  <c r="C30" i="27"/>
  <c r="B30" i="27"/>
  <c r="E29" i="27"/>
  <c r="F21" i="13" s="1"/>
  <c r="D29" i="27"/>
  <c r="C29" i="27"/>
  <c r="B29" i="27"/>
  <c r="D28" i="27"/>
  <c r="E28" i="27" s="1"/>
  <c r="F20" i="13"/>
  <c r="C28" i="27"/>
  <c r="B28" i="27"/>
  <c r="E27" i="27"/>
  <c r="F9" i="13"/>
  <c r="D27" i="27"/>
  <c r="C27" i="27"/>
  <c r="B27" i="27"/>
  <c r="E26" i="27"/>
  <c r="F5" i="13"/>
  <c r="F6" i="13" s="1"/>
  <c r="D26" i="27"/>
  <c r="C26" i="27"/>
  <c r="B26" i="27"/>
  <c r="E23" i="27"/>
  <c r="F8" i="13" s="1"/>
  <c r="D23" i="27"/>
  <c r="C23" i="27"/>
  <c r="B23" i="27"/>
  <c r="E21" i="27"/>
  <c r="F7" i="13"/>
  <c r="D21" i="27"/>
  <c r="C21" i="27"/>
  <c r="B21" i="27"/>
  <c r="E20" i="27"/>
  <c r="K20" i="27" s="1"/>
  <c r="E19" i="27"/>
  <c r="F19" i="13" s="1"/>
  <c r="D19" i="27"/>
  <c r="C19" i="27"/>
  <c r="D20" i="27" s="1"/>
  <c r="J20" i="27" s="1"/>
  <c r="B19" i="27"/>
  <c r="E9" i="27"/>
  <c r="F9" i="27"/>
  <c r="D9" i="27"/>
  <c r="C9" i="27"/>
  <c r="B9" i="27"/>
  <c r="E8" i="27"/>
  <c r="F8" i="27" s="1"/>
  <c r="D8" i="27"/>
  <c r="C8" i="27"/>
  <c r="B8" i="27"/>
  <c r="E7" i="27"/>
  <c r="F7" i="27" s="1"/>
  <c r="D7" i="27"/>
  <c r="C7" i="27"/>
  <c r="B7" i="27"/>
  <c r="E6" i="27"/>
  <c r="F6" i="27" s="1"/>
  <c r="G6" i="27"/>
  <c r="H6" i="27"/>
  <c r="D6" i="27"/>
  <c r="C6" i="27"/>
  <c r="B6" i="27"/>
  <c r="E5" i="27"/>
  <c r="F5" i="27" s="1"/>
  <c r="D5" i="27"/>
  <c r="C5" i="27"/>
  <c r="B5" i="27"/>
  <c r="E4" i="27"/>
  <c r="F4" i="27" s="1"/>
  <c r="D4" i="27"/>
  <c r="C4" i="27"/>
  <c r="B4" i="27"/>
  <c r="E3" i="27"/>
  <c r="F3" i="27"/>
  <c r="G3" i="27" s="1"/>
  <c r="H3" i="27" s="1"/>
  <c r="D3" i="27"/>
  <c r="C3" i="27"/>
  <c r="B3" i="27"/>
  <c r="E1" i="27"/>
  <c r="F1" i="27" s="1"/>
  <c r="G1" i="27"/>
  <c r="H1" i="27"/>
  <c r="Q15" i="25"/>
  <c r="G15" i="25"/>
  <c r="I13" i="25"/>
  <c r="H13" i="25"/>
  <c r="G13" i="25"/>
  <c r="N12" i="25"/>
  <c r="I12" i="25"/>
  <c r="H12" i="25"/>
  <c r="G12" i="25"/>
  <c r="O11" i="25"/>
  <c r="P11" i="25" s="1"/>
  <c r="J11" i="25"/>
  <c r="F11" i="25"/>
  <c r="G11" i="25" s="1"/>
  <c r="P9" i="25"/>
  <c r="L3" i="25"/>
  <c r="K3" i="25"/>
  <c r="J3" i="25"/>
  <c r="I3" i="25"/>
  <c r="H3" i="25"/>
  <c r="G3" i="25"/>
  <c r="F7" i="25" s="1"/>
  <c r="F3" i="25"/>
  <c r="E3" i="25"/>
  <c r="D3" i="25"/>
  <c r="F10" i="25"/>
  <c r="G10" i="25" s="1"/>
  <c r="F24" i="8"/>
  <c r="G24" i="8" s="1"/>
  <c r="H24" i="8"/>
  <c r="E10" i="8"/>
  <c r="D10" i="8"/>
  <c r="C10" i="8"/>
  <c r="B10" i="8"/>
  <c r="E5" i="8"/>
  <c r="F17" i="31" s="1"/>
  <c r="D5" i="8"/>
  <c r="C5" i="8"/>
  <c r="B5" i="8"/>
  <c r="C17" i="31" s="1"/>
  <c r="C18" i="31" s="1"/>
  <c r="E4" i="20"/>
  <c r="I26" i="23"/>
  <c r="B27" i="23"/>
  <c r="D27" i="23"/>
  <c r="I25" i="23"/>
  <c r="H26" i="21"/>
  <c r="B26" i="21"/>
  <c r="D26" i="21"/>
  <c r="G7" i="25"/>
  <c r="M2" i="25" s="1"/>
  <c r="C17" i="13"/>
  <c r="E17" i="20"/>
  <c r="E16" i="20"/>
  <c r="D39" i="13"/>
  <c r="J26" i="21"/>
  <c r="H25" i="23"/>
  <c r="B26" i="23"/>
  <c r="D26" i="23"/>
  <c r="B19" i="23"/>
  <c r="D19" i="23" s="1"/>
  <c r="C14" i="24"/>
  <c r="E14" i="24"/>
  <c r="B14" i="24"/>
  <c r="E15" i="24"/>
  <c r="B15" i="24"/>
  <c r="F16" i="20"/>
  <c r="F17" i="20"/>
  <c r="F10" i="20"/>
  <c r="I13" i="28"/>
  <c r="I15" i="28"/>
  <c r="E39" i="13"/>
  <c r="G26" i="21"/>
  <c r="B25" i="21"/>
  <c r="D25" i="21"/>
  <c r="B18" i="21"/>
  <c r="D18" i="21" s="1"/>
  <c r="J26" i="23"/>
  <c r="J25" i="23"/>
  <c r="B28" i="23"/>
  <c r="D28" i="23"/>
  <c r="B21" i="23"/>
  <c r="D21" i="23"/>
  <c r="C5" i="20"/>
  <c r="B17" i="13"/>
  <c r="D30" i="20" s="1"/>
  <c r="D14" i="24"/>
  <c r="H6" i="29"/>
  <c r="H7" i="29"/>
  <c r="F4" i="20"/>
  <c r="F5" i="20"/>
  <c r="E17" i="13"/>
  <c r="E40" i="13" s="1"/>
  <c r="D17" i="31"/>
  <c r="D18" i="31"/>
  <c r="D20" i="20"/>
  <c r="H13" i="17"/>
  <c r="H14" i="17"/>
  <c r="C4" i="20"/>
  <c r="D5" i="20"/>
  <c r="B27" i="21"/>
  <c r="D27" i="21" s="1"/>
  <c r="I25" i="21"/>
  <c r="B20" i="21"/>
  <c r="D20" i="21"/>
  <c r="G25" i="21"/>
  <c r="I26" i="21"/>
  <c r="D11" i="24"/>
  <c r="B20" i="24"/>
  <c r="D20" i="24" s="1"/>
  <c r="B11" i="24"/>
  <c r="C11" i="24"/>
  <c r="C12" i="24"/>
  <c r="D12" i="24"/>
  <c r="B13" i="24"/>
  <c r="D13" i="24"/>
  <c r="D15" i="24"/>
  <c r="C17" i="20"/>
  <c r="C16" i="20"/>
  <c r="C10" i="20"/>
  <c r="E17" i="31"/>
  <c r="E18" i="31" s="1"/>
  <c r="E20" i="20"/>
  <c r="F18" i="31"/>
  <c r="F19" i="17"/>
  <c r="F20" i="20"/>
  <c r="D17" i="20"/>
  <c r="D16" i="20"/>
  <c r="B39" i="13"/>
  <c r="D10" i="20"/>
  <c r="E12" i="24"/>
  <c r="E22" i="27"/>
  <c r="K22" i="27"/>
  <c r="F87" i="27"/>
  <c r="G87" i="27" s="1"/>
  <c r="H87" i="27"/>
  <c r="I18" i="28"/>
  <c r="F41" i="27"/>
  <c r="G41" i="27" s="1"/>
  <c r="H41" i="27" s="1"/>
  <c r="D19" i="17"/>
  <c r="E11" i="8"/>
  <c r="D24" i="27"/>
  <c r="J24" i="27"/>
  <c r="E19" i="17"/>
  <c r="D11" i="8"/>
  <c r="E22" i="31" s="1"/>
  <c r="B11" i="8"/>
  <c r="C11" i="8"/>
  <c r="F35" i="27"/>
  <c r="G35" i="27"/>
  <c r="H35" i="27" s="1"/>
  <c r="F29" i="27"/>
  <c r="G29" i="27" s="1"/>
  <c r="F45" i="27"/>
  <c r="G45" i="27"/>
  <c r="H45" i="27" s="1"/>
  <c r="G5" i="27"/>
  <c r="H5" i="27" s="1"/>
  <c r="F32" i="27"/>
  <c r="G32" i="27"/>
  <c r="H32" i="27" s="1"/>
  <c r="F39" i="27"/>
  <c r="G39" i="27"/>
  <c r="H39" i="27"/>
  <c r="D22" i="27"/>
  <c r="J22" i="27"/>
  <c r="E24" i="27"/>
  <c r="K24" i="27" s="1"/>
  <c r="F37" i="27"/>
  <c r="G37" i="27"/>
  <c r="H37" i="27"/>
  <c r="F43" i="27"/>
  <c r="G43" i="27"/>
  <c r="H43" i="27"/>
  <c r="G8" i="27"/>
  <c r="H8" i="27" s="1"/>
  <c r="G7" i="27"/>
  <c r="H7" i="27" s="1"/>
  <c r="G4" i="27"/>
  <c r="H4" i="27" s="1"/>
  <c r="G9" i="27"/>
  <c r="H9" i="27"/>
  <c r="F20" i="27"/>
  <c r="G20" i="27" s="1"/>
  <c r="H20" i="27"/>
  <c r="F22" i="27"/>
  <c r="G22" i="27"/>
  <c r="H22" i="27" s="1"/>
  <c r="F28" i="27"/>
  <c r="G28" i="27"/>
  <c r="H28" i="27"/>
  <c r="F36" i="27"/>
  <c r="G36" i="27" s="1"/>
  <c r="H36" i="27"/>
  <c r="F12" i="13"/>
  <c r="F44" i="27"/>
  <c r="G44" i="27" s="1"/>
  <c r="H44" i="27"/>
  <c r="F30" i="13"/>
  <c r="G65" i="27"/>
  <c r="F38" i="27"/>
  <c r="G38" i="27"/>
  <c r="H38" i="27"/>
  <c r="F14" i="13"/>
  <c r="C22" i="27"/>
  <c r="I22" i="27"/>
  <c r="C24" i="27"/>
  <c r="I24" i="27" s="1"/>
  <c r="F10" i="13"/>
  <c r="F27" i="27"/>
  <c r="G27" i="27"/>
  <c r="H27" i="27" s="1"/>
  <c r="F31" i="27"/>
  <c r="G31" i="27"/>
  <c r="H31" i="27"/>
  <c r="F33" i="27"/>
  <c r="G33" i="27" s="1"/>
  <c r="H33" i="27"/>
  <c r="F25" i="13"/>
  <c r="F26" i="13"/>
  <c r="F33" i="13" s="1"/>
  <c r="F39" i="13" s="1"/>
  <c r="F42" i="27"/>
  <c r="G42" i="27"/>
  <c r="H42" i="27"/>
  <c r="F28" i="13"/>
  <c r="F46" i="27"/>
  <c r="G46" i="27"/>
  <c r="H46" i="27"/>
  <c r="F32" i="13"/>
  <c r="F26" i="27"/>
  <c r="G26" i="27"/>
  <c r="H26" i="27"/>
  <c r="F30" i="27"/>
  <c r="G30" i="27" s="1"/>
  <c r="H30" i="27" s="1"/>
  <c r="F40" i="27"/>
  <c r="G40" i="27"/>
  <c r="H40" i="27" s="1"/>
  <c r="F16" i="13"/>
  <c r="P4" i="24"/>
  <c r="P5" i="24"/>
  <c r="P6" i="24"/>
  <c r="E11" i="24"/>
  <c r="B21" i="24" s="1"/>
  <c r="D21" i="24" s="1"/>
  <c r="I38" i="28"/>
  <c r="L39" i="28"/>
  <c r="D49" i="20"/>
  <c r="D57" i="20"/>
  <c r="D43" i="20"/>
  <c r="D56" i="20" s="1"/>
  <c r="B40" i="13"/>
  <c r="H7" i="25"/>
  <c r="N2" i="25"/>
  <c r="I15" i="25" s="1"/>
  <c r="H15" i="25"/>
  <c r="F3" i="8"/>
  <c r="H10" i="25"/>
  <c r="D15" i="20"/>
  <c r="D55" i="20"/>
  <c r="D21" i="20"/>
  <c r="C15" i="20"/>
  <c r="B14" i="8"/>
  <c r="B12" i="27" s="1"/>
  <c r="C21" i="20"/>
  <c r="C22" i="20"/>
  <c r="C55" i="20"/>
  <c r="F15" i="20"/>
  <c r="E14" i="8"/>
  <c r="F21" i="20"/>
  <c r="F22" i="20"/>
  <c r="F55" i="20"/>
  <c r="H55" i="20" s="1"/>
  <c r="E15" i="20"/>
  <c r="D14" i="8"/>
  <c r="E55" i="20"/>
  <c r="G55" i="20" s="1"/>
  <c r="E22" i="20"/>
  <c r="E21" i="20"/>
  <c r="B18" i="24"/>
  <c r="I32" i="28" s="1"/>
  <c r="L33" i="28" s="1"/>
  <c r="L35" i="28" s="1"/>
  <c r="L36" i="28" s="1"/>
  <c r="B19" i="24"/>
  <c r="D19" i="24" s="1"/>
  <c r="G27" i="13"/>
  <c r="F86" i="27" s="1"/>
  <c r="G31" i="13"/>
  <c r="G25" i="13"/>
  <c r="F19" i="14"/>
  <c r="G13" i="13"/>
  <c r="D22" i="31"/>
  <c r="D23" i="31"/>
  <c r="D20" i="17"/>
  <c r="E23" i="31"/>
  <c r="E20" i="17"/>
  <c r="G9" i="13"/>
  <c r="C22" i="31"/>
  <c r="C23" i="31" s="1"/>
  <c r="F22" i="31"/>
  <c r="F23" i="31" s="1"/>
  <c r="I33" i="28"/>
  <c r="G23" i="13"/>
  <c r="F18" i="14" s="1"/>
  <c r="G29" i="13"/>
  <c r="G24" i="13"/>
  <c r="F17" i="14"/>
  <c r="G28" i="13"/>
  <c r="F21" i="27"/>
  <c r="G7" i="13" s="1"/>
  <c r="G22" i="13"/>
  <c r="H65" i="27"/>
  <c r="G32" i="13"/>
  <c r="F20" i="14" s="1"/>
  <c r="G5" i="13"/>
  <c r="D18" i="24"/>
  <c r="G3" i="8"/>
  <c r="I7" i="25"/>
  <c r="O2" i="25" s="1"/>
  <c r="H3" i="8" s="1"/>
  <c r="I10" i="25"/>
  <c r="I11" i="25"/>
  <c r="D48" i="20"/>
  <c r="F14" i="14"/>
  <c r="F52" i="27"/>
  <c r="F9" i="14" s="1"/>
  <c r="F13" i="8"/>
  <c r="G20" i="13"/>
  <c r="F6" i="8"/>
  <c r="F59" i="27"/>
  <c r="F63" i="27" s="1"/>
  <c r="F54" i="27"/>
  <c r="F9" i="8"/>
  <c r="F4" i="8"/>
  <c r="F19" i="27" s="1"/>
  <c r="F7" i="8"/>
  <c r="E23" i="20"/>
  <c r="E54" i="20"/>
  <c r="F23" i="20"/>
  <c r="F54" i="20"/>
  <c r="E12" i="27"/>
  <c r="E16" i="8"/>
  <c r="I34" i="28"/>
  <c r="L34" i="28"/>
  <c r="D12" i="27"/>
  <c r="D16" i="8"/>
  <c r="E24" i="20" s="1"/>
  <c r="E47" i="20" s="1"/>
  <c r="H54" i="20"/>
  <c r="G19" i="13"/>
  <c r="F5" i="8"/>
  <c r="F60" i="27"/>
  <c r="F61" i="27"/>
  <c r="F57" i="27"/>
  <c r="G7" i="8"/>
  <c r="G48" i="27"/>
  <c r="G7" i="14" s="1"/>
  <c r="E10" i="28"/>
  <c r="H31" i="13"/>
  <c r="H5" i="13"/>
  <c r="H12" i="13"/>
  <c r="H15" i="13"/>
  <c r="G21" i="27"/>
  <c r="H29" i="13"/>
  <c r="H28" i="13"/>
  <c r="G4" i="8"/>
  <c r="H27" i="13"/>
  <c r="H24" i="13"/>
  <c r="G17" i="14" s="1"/>
  <c r="H23" i="13"/>
  <c r="G18" i="14"/>
  <c r="G9" i="8"/>
  <c r="H20" i="13"/>
  <c r="G6" i="8"/>
  <c r="H9" i="13"/>
  <c r="G14" i="14" s="1"/>
  <c r="H22" i="13"/>
  <c r="G13" i="8"/>
  <c r="H32" i="13"/>
  <c r="G20" i="14" s="1"/>
  <c r="I11" i="20"/>
  <c r="F24" i="20"/>
  <c r="F47" i="20" s="1"/>
  <c r="F53" i="20"/>
  <c r="F42" i="20"/>
  <c r="F26" i="20"/>
  <c r="E18" i="8"/>
  <c r="F26" i="31"/>
  <c r="F27" i="31"/>
  <c r="E70" i="27"/>
  <c r="E21" i="8"/>
  <c r="E20" i="8"/>
  <c r="F8" i="20"/>
  <c r="F11" i="20"/>
  <c r="F12" i="20" s="1"/>
  <c r="F27" i="20" s="1"/>
  <c r="D18" i="8"/>
  <c r="E26" i="31"/>
  <c r="E27" i="31" s="1"/>
  <c r="D70" i="27"/>
  <c r="D20" i="8"/>
  <c r="E8" i="20"/>
  <c r="E11" i="20" s="1"/>
  <c r="E12" i="20" s="1"/>
  <c r="G5" i="8"/>
  <c r="H17" i="31" s="1"/>
  <c r="H18" i="31" s="1"/>
  <c r="G19" i="27"/>
  <c r="G17" i="31"/>
  <c r="G18" i="31"/>
  <c r="H7" i="13"/>
  <c r="G12" i="14" s="1"/>
  <c r="F16" i="14"/>
  <c r="H19" i="13"/>
  <c r="G16" i="14"/>
  <c r="H28" i="8" l="1"/>
  <c r="G28" i="8"/>
  <c r="G23" i="8" s="1"/>
  <c r="H54" i="27"/>
  <c r="I31" i="13"/>
  <c r="H50" i="27"/>
  <c r="H8" i="14" s="1"/>
  <c r="I29" i="13"/>
  <c r="I30" i="13"/>
  <c r="H13" i="8"/>
  <c r="I23" i="13"/>
  <c r="H18" i="14" s="1"/>
  <c r="I15" i="13"/>
  <c r="I25" i="13"/>
  <c r="H19" i="14" s="1"/>
  <c r="H59" i="27"/>
  <c r="H52" i="27"/>
  <c r="H9" i="14" s="1"/>
  <c r="I20" i="13"/>
  <c r="I27" i="13"/>
  <c r="H86" i="27" s="1"/>
  <c r="I24" i="13"/>
  <c r="H17" i="14" s="1"/>
  <c r="H8" i="8"/>
  <c r="I12" i="13"/>
  <c r="I11" i="13"/>
  <c r="I9" i="13"/>
  <c r="H14" i="14" s="1"/>
  <c r="H4" i="8"/>
  <c r="I28" i="13"/>
  <c r="I5" i="13"/>
  <c r="I14" i="13"/>
  <c r="H6" i="8"/>
  <c r="H48" i="27"/>
  <c r="H7" i="14" s="1"/>
  <c r="F10" i="28" s="1"/>
  <c r="H7" i="8"/>
  <c r="I16" i="13"/>
  <c r="I22" i="13"/>
  <c r="H5" i="8"/>
  <c r="I32" i="13"/>
  <c r="H20" i="14" s="1"/>
  <c r="H9" i="8"/>
  <c r="I13" i="13"/>
  <c r="H21" i="27"/>
  <c r="I7" i="13" s="1"/>
  <c r="D14" i="28"/>
  <c r="F12" i="8"/>
  <c r="G15" i="14"/>
  <c r="H12" i="14"/>
  <c r="F12" i="14"/>
  <c r="H21" i="13"/>
  <c r="H29" i="27"/>
  <c r="I21" i="13" s="1"/>
  <c r="E53" i="20"/>
  <c r="E26" i="20"/>
  <c r="E27" i="20" s="1"/>
  <c r="F24" i="17"/>
  <c r="C23" i="20"/>
  <c r="G50" i="27"/>
  <c r="G8" i="14" s="1"/>
  <c r="G52" i="27"/>
  <c r="G9" i="14" s="1"/>
  <c r="H30" i="13"/>
  <c r="H16" i="13"/>
  <c r="H25" i="13"/>
  <c r="G19" i="14" s="1"/>
  <c r="G8" i="8"/>
  <c r="G10" i="8" s="1"/>
  <c r="G11" i="8" s="1"/>
  <c r="H13" i="13"/>
  <c r="H14" i="13"/>
  <c r="H11" i="25"/>
  <c r="D21" i="8"/>
  <c r="E42" i="20"/>
  <c r="H11" i="13"/>
  <c r="G54" i="27"/>
  <c r="F33" i="14"/>
  <c r="B16" i="8"/>
  <c r="C54" i="20"/>
  <c r="F22" i="17"/>
  <c r="G11" i="13"/>
  <c r="G14" i="13"/>
  <c r="G30" i="13"/>
  <c r="G12" i="13"/>
  <c r="G15" i="13"/>
  <c r="G16" i="13"/>
  <c r="F48" i="27"/>
  <c r="F7" i="14" s="1"/>
  <c r="D10" i="28" s="1"/>
  <c r="F8" i="8"/>
  <c r="F10" i="8" s="1"/>
  <c r="F11" i="8" s="1"/>
  <c r="F50" i="27"/>
  <c r="F8" i="14" s="1"/>
  <c r="G21" i="13"/>
  <c r="G59" i="27"/>
  <c r="F17" i="13"/>
  <c r="F40" i="13" s="1"/>
  <c r="F24" i="27"/>
  <c r="C14" i="8"/>
  <c r="E22" i="17" s="1"/>
  <c r="D22" i="20"/>
  <c r="G86" i="27"/>
  <c r="F20" i="17"/>
  <c r="I35" i="28"/>
  <c r="C41" i="14"/>
  <c r="C43" i="14" s="1"/>
  <c r="B20" i="23"/>
  <c r="D20" i="23" s="1"/>
  <c r="I37" i="13"/>
  <c r="H37" i="13"/>
  <c r="B28" i="21"/>
  <c r="D28" i="21" s="1"/>
  <c r="B21" i="21"/>
  <c r="D21" i="21" s="1"/>
  <c r="J25" i="21"/>
  <c r="G26" i="23"/>
  <c r="B25" i="23"/>
  <c r="D25" i="23" s="1"/>
  <c r="B18" i="23"/>
  <c r="D18" i="23" s="1"/>
  <c r="H9" i="20"/>
  <c r="F37" i="20"/>
  <c r="F38" i="20" s="1"/>
  <c r="C20" i="20"/>
  <c r="F9" i="25"/>
  <c r="C20" i="27"/>
  <c r="I20" i="27" s="1"/>
  <c r="D41" i="14"/>
  <c r="D43" i="14" s="1"/>
  <c r="B19" i="21"/>
  <c r="D19" i="21" s="1"/>
  <c r="H25" i="21"/>
  <c r="I26" i="30"/>
  <c r="I23" i="30"/>
  <c r="I7" i="30"/>
  <c r="I16" i="30"/>
  <c r="I22" i="30"/>
  <c r="I8" i="30"/>
  <c r="I27" i="30"/>
  <c r="I13" i="30"/>
  <c r="I6" i="30"/>
  <c r="I18" i="30"/>
  <c r="I24" i="30"/>
  <c r="I19" i="30"/>
  <c r="I14" i="30"/>
  <c r="I11" i="30"/>
  <c r="I17" i="30"/>
  <c r="I9" i="30"/>
  <c r="I10" i="30"/>
  <c r="I12" i="30"/>
  <c r="H35" i="13"/>
  <c r="D17" i="13"/>
  <c r="F8" i="25"/>
  <c r="C39" i="13"/>
  <c r="C40" i="13" s="1"/>
  <c r="L10" i="28"/>
  <c r="I20" i="30"/>
  <c r="I25" i="30"/>
  <c r="K15" i="17"/>
  <c r="H23" i="8" l="1"/>
  <c r="G22" i="31"/>
  <c r="G23" i="31" s="1"/>
  <c r="F14" i="8"/>
  <c r="D7" i="28"/>
  <c r="F15" i="28"/>
  <c r="H26" i="14"/>
  <c r="E7" i="28"/>
  <c r="H22" i="31"/>
  <c r="H23" i="31" s="1"/>
  <c r="E14" i="28"/>
  <c r="G12" i="8"/>
  <c r="G14" i="8" s="1"/>
  <c r="D11" i="28"/>
  <c r="F39" i="14"/>
  <c r="H53" i="20"/>
  <c r="I17" i="31"/>
  <c r="I18" i="31" s="1"/>
  <c r="F14" i="28"/>
  <c r="H12" i="8"/>
  <c r="I35" i="13"/>
  <c r="H33" i="14"/>
  <c r="G61" i="27"/>
  <c r="G63" i="27"/>
  <c r="G60" i="27" s="1"/>
  <c r="H57" i="27"/>
  <c r="G57" i="27"/>
  <c r="G33" i="14"/>
  <c r="H10" i="8"/>
  <c r="H11" i="8" s="1"/>
  <c r="H19" i="27"/>
  <c r="I19" i="13" s="1"/>
  <c r="F25" i="20"/>
  <c r="E30" i="20"/>
  <c r="E43" i="20" s="1"/>
  <c r="F30" i="20"/>
  <c r="F43" i="20" s="1"/>
  <c r="D40" i="13"/>
  <c r="E49" i="20"/>
  <c r="E57" i="20" s="1"/>
  <c r="G57" i="20" s="1"/>
  <c r="F49" i="20"/>
  <c r="F57" i="20" s="1"/>
  <c r="H57" i="20" s="1"/>
  <c r="I23" i="28"/>
  <c r="L24" i="28"/>
  <c r="G8" i="25"/>
  <c r="I8" i="25"/>
  <c r="D23" i="20"/>
  <c r="D54" i="20"/>
  <c r="G54" i="20" s="1"/>
  <c r="C12" i="27"/>
  <c r="D22" i="17"/>
  <c r="C16" i="8"/>
  <c r="D15" i="28"/>
  <c r="G26" i="13"/>
  <c r="G33" i="13" s="1"/>
  <c r="F26" i="14"/>
  <c r="F31" i="14" s="1"/>
  <c r="H15" i="14"/>
  <c r="F15" i="14"/>
  <c r="G26" i="14"/>
  <c r="G31" i="14" s="1"/>
  <c r="H26" i="13"/>
  <c r="H33" i="13" s="1"/>
  <c r="E15" i="28"/>
  <c r="G9" i="25"/>
  <c r="I9" i="25"/>
  <c r="H9" i="25"/>
  <c r="E25" i="20"/>
  <c r="F23" i="27"/>
  <c r="G8" i="13" s="1"/>
  <c r="G24" i="27"/>
  <c r="C42" i="20"/>
  <c r="B18" i="8"/>
  <c r="C53" i="20"/>
  <c r="C26" i="31"/>
  <c r="C27" i="31" s="1"/>
  <c r="C24" i="20"/>
  <c r="C47" i="20" s="1"/>
  <c r="B21" i="8"/>
  <c r="B70" i="27"/>
  <c r="B74" i="27" s="1"/>
  <c r="C69" i="27" s="1"/>
  <c r="B20" i="8"/>
  <c r="C8" i="20" s="1"/>
  <c r="C11" i="20" s="1"/>
  <c r="C12" i="20" s="1"/>
  <c r="E44" i="20"/>
  <c r="H8" i="25"/>
  <c r="H63" i="27"/>
  <c r="I22" i="31" l="1"/>
  <c r="I23" i="31" s="1"/>
  <c r="H14" i="8"/>
  <c r="F7" i="28"/>
  <c r="G15" i="8"/>
  <c r="E8" i="28" s="1"/>
  <c r="G16" i="8"/>
  <c r="F13" i="14"/>
  <c r="D12" i="28" s="1"/>
  <c r="H16" i="14"/>
  <c r="I26" i="13"/>
  <c r="I33" i="13" s="1"/>
  <c r="F11" i="28"/>
  <c r="H39" i="14"/>
  <c r="D26" i="31"/>
  <c r="D27" i="31" s="1"/>
  <c r="C21" i="8"/>
  <c r="D53" i="20"/>
  <c r="C20" i="8"/>
  <c r="D8" i="20" s="1"/>
  <c r="D11" i="20" s="1"/>
  <c r="D12" i="20" s="1"/>
  <c r="D24" i="17"/>
  <c r="E24" i="17"/>
  <c r="D25" i="20"/>
  <c r="D26" i="20"/>
  <c r="D27" i="20" s="1"/>
  <c r="H11" i="20"/>
  <c r="D42" i="20"/>
  <c r="D44" i="20" s="1"/>
  <c r="D24" i="20"/>
  <c r="D47" i="20" s="1"/>
  <c r="D50" i="20" s="1"/>
  <c r="C18" i="8"/>
  <c r="C70" i="27"/>
  <c r="C74" i="27" s="1"/>
  <c r="D69" i="27" s="1"/>
  <c r="D74" i="27" s="1"/>
  <c r="E69" i="27" s="1"/>
  <c r="E74" i="27" s="1"/>
  <c r="F69" i="27" s="1"/>
  <c r="F56" i="20"/>
  <c r="F48" i="20"/>
  <c r="F50" i="20" s="1"/>
  <c r="F44" i="20"/>
  <c r="E9" i="28"/>
  <c r="E48" i="20"/>
  <c r="E50" i="20" s="1"/>
  <c r="E56" i="20"/>
  <c r="H60" i="27"/>
  <c r="H61" i="27" s="1"/>
  <c r="F15" i="8"/>
  <c r="D8" i="28" s="1"/>
  <c r="D9" i="28" s="1"/>
  <c r="D13" i="28" s="1"/>
  <c r="H24" i="27"/>
  <c r="H23" i="27" s="1"/>
  <c r="I8" i="13" s="1"/>
  <c r="H13" i="14" s="1"/>
  <c r="F12" i="28" s="1"/>
  <c r="G23" i="27"/>
  <c r="H8" i="13" s="1"/>
  <c r="G13" i="14" s="1"/>
  <c r="E12" i="28" s="1"/>
  <c r="E11" i="28"/>
  <c r="G39" i="14"/>
  <c r="H27" i="14"/>
  <c r="H31" i="14" s="1"/>
  <c r="D16" i="28" l="1"/>
  <c r="G56" i="20"/>
  <c r="E58" i="20"/>
  <c r="F16" i="8"/>
  <c r="D58" i="20"/>
  <c r="G53" i="20"/>
  <c r="H56" i="20"/>
  <c r="F58" i="20"/>
  <c r="H58" i="20" s="1"/>
  <c r="E13" i="28"/>
  <c r="E16" i="28" s="1"/>
  <c r="H15" i="8"/>
  <c r="F8" i="28" s="1"/>
  <c r="F9" i="28" s="1"/>
  <c r="F13" i="28" s="1"/>
  <c r="H16" i="8"/>
  <c r="H26" i="31"/>
  <c r="H27" i="31" s="1"/>
  <c r="G5" i="14"/>
  <c r="G21" i="14" s="1"/>
  <c r="G41" i="14" s="1"/>
  <c r="G20" i="8"/>
  <c r="G18" i="8"/>
  <c r="G70" i="27"/>
  <c r="G21" i="8"/>
  <c r="I24" i="28" l="1"/>
  <c r="I25" i="28" s="1"/>
  <c r="F16" i="28"/>
  <c r="L25" i="28" s="1"/>
  <c r="L26" i="28" s="1"/>
  <c r="H20" i="8"/>
  <c r="H21" i="8"/>
  <c r="H70" i="27"/>
  <c r="H18" i="8"/>
  <c r="I26" i="31"/>
  <c r="I27" i="31" s="1"/>
  <c r="H5" i="14"/>
  <c r="H21" i="14" s="1"/>
  <c r="H41" i="14" s="1"/>
  <c r="F20" i="8"/>
  <c r="F5" i="14"/>
  <c r="F21" i="14" s="1"/>
  <c r="F41" i="14" s="1"/>
  <c r="F43" i="14" s="1"/>
  <c r="F18" i="8"/>
  <c r="F21" i="8"/>
  <c r="G26" i="31"/>
  <c r="G27" i="31" s="1"/>
  <c r="F70" i="27"/>
  <c r="F74" i="27" s="1"/>
  <c r="I26" i="28"/>
  <c r="I36" i="28" s="1"/>
  <c r="I37" i="28" s="1"/>
  <c r="I39" i="28" s="1"/>
  <c r="L27" i="28"/>
  <c r="L37" i="28" s="1"/>
  <c r="L38" i="28" s="1"/>
  <c r="L40" i="28" s="1"/>
  <c r="G58" i="20"/>
  <c r="G69" i="27" l="1"/>
  <c r="G74" i="27" s="1"/>
  <c r="G36" i="13"/>
  <c r="G38" i="13" s="1"/>
  <c r="G39" i="13" s="1"/>
  <c r="G4" i="13"/>
  <c r="G6" i="13" s="1"/>
  <c r="G10" i="13" s="1"/>
  <c r="G17" i="13" s="1"/>
  <c r="G42" i="14"/>
  <c r="G43" i="14" s="1"/>
  <c r="L28" i="28"/>
  <c r="L30" i="28" s="1"/>
  <c r="I27" i="28"/>
  <c r="I29" i="28" s="1"/>
  <c r="O23" i="28" s="1"/>
  <c r="H42" i="14" l="1"/>
  <c r="H43" i="14" s="1"/>
  <c r="I4" i="13" s="1"/>
  <c r="I6" i="13" s="1"/>
  <c r="I10" i="13" s="1"/>
  <c r="I17" i="13" s="1"/>
  <c r="H4" i="13"/>
  <c r="H6" i="13" s="1"/>
  <c r="H10" i="13" s="1"/>
  <c r="H17" i="13" s="1"/>
  <c r="G40" i="13"/>
  <c r="H36" i="13"/>
  <c r="H38" i="13" s="1"/>
  <c r="H39" i="13" s="1"/>
  <c r="H69" i="27"/>
  <c r="H74" i="27" s="1"/>
  <c r="I36" i="13" s="1"/>
  <c r="I38" i="13" s="1"/>
  <c r="I39" i="13" s="1"/>
  <c r="H40" i="13" l="1"/>
  <c r="I40" i="13"/>
</calcChain>
</file>

<file path=xl/comments1.xml><?xml version="1.0" encoding="utf-8"?>
<comments xmlns="http://schemas.openxmlformats.org/spreadsheetml/2006/main">
  <authors>
    <author>Admin</author>
  </authors>
  <commentList>
    <comment ref="G16" authorId="0" shapeId="0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Data from Nasdaq
</t>
        </r>
      </text>
    </comment>
  </commentList>
</comments>
</file>

<file path=xl/comments2.xml><?xml version="1.0" encoding="utf-8"?>
<comments xmlns="http://schemas.openxmlformats.org/spreadsheetml/2006/main">
  <authors>
    <author>tc={77371332-DDBC-4D4E-9855-DAA5246CBF21}</author>
  </authors>
  <commentList>
    <comment ref="B18" authorId="0" shapeId="0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taken average of all Companies as Industry no..including the valuying comapany multiples</t>
        </r>
      </text>
    </comment>
  </commentList>
</comments>
</file>

<file path=xl/comments3.xml><?xml version="1.0" encoding="utf-8"?>
<comments xmlns="http://schemas.openxmlformats.org/spreadsheetml/2006/main">
  <authors>
    <author>Admin</author>
  </authors>
  <commentList>
    <comment ref="I7" authorId="0" shapeId="0">
      <text>
        <r>
          <rPr>
            <b/>
            <sz val="9"/>
            <color indexed="81"/>
            <rFont val="Tahoma"/>
            <charset val="1"/>
          </rPr>
          <t>Admin:</t>
        </r>
        <r>
          <rPr>
            <sz val="9"/>
            <color indexed="81"/>
            <rFont val="Tahoma"/>
            <charset val="1"/>
          </rPr>
          <t xml:space="preserve">
Picked from Bloomberg as on 9/16/2020 for 10 yr bond</t>
        </r>
      </text>
    </comment>
    <comment ref="I9" authorId="0" shapeId="0">
      <text>
        <r>
          <rPr>
            <b/>
            <sz val="9"/>
            <color indexed="81"/>
            <rFont val="Tahoma"/>
            <charset val="1"/>
          </rPr>
          <t>Admin:</t>
        </r>
        <r>
          <rPr>
            <sz val="9"/>
            <color indexed="81"/>
            <rFont val="Tahoma"/>
            <charset val="1"/>
          </rPr>
          <t xml:space="preserve">
Picked from Prof Damodaran NYU as on 9/16/2020</t>
        </r>
      </text>
    </comment>
  </commentList>
</comments>
</file>

<file path=xl/sharedStrings.xml><?xml version="1.0" encoding="utf-8"?>
<sst xmlns="http://schemas.openxmlformats.org/spreadsheetml/2006/main" count="733" uniqueCount="425">
  <si>
    <t>Gross margin</t>
  </si>
  <si>
    <t>Research and development</t>
  </si>
  <si>
    <t>Provision for income taxes</t>
  </si>
  <si>
    <t>Net income</t>
  </si>
  <si>
    <t>Earnings per share:</t>
  </si>
  <si>
    <t>General and administrative</t>
  </si>
  <si>
    <t>Income before income taxes</t>
  </si>
  <si>
    <t>Basic</t>
  </si>
  <si>
    <t>Diluted</t>
  </si>
  <si>
    <t>INCOME STATEMENTS - USD ($) shares in Millions, $ in Millions</t>
  </si>
  <si>
    <t>Revenue</t>
  </si>
  <si>
    <t>Cost of revenue</t>
  </si>
  <si>
    <t>Sales and marketing</t>
  </si>
  <si>
    <t>Restructuring</t>
  </si>
  <si>
    <t>Other income, net</t>
  </si>
  <si>
    <t>Weighted average shares outstanding:</t>
  </si>
  <si>
    <t>Total Expenses</t>
  </si>
  <si>
    <t>Current assets:</t>
  </si>
  <si>
    <t>Cash and cash equivalents</t>
  </si>
  <si>
    <t>Inventories</t>
  </si>
  <si>
    <t>Other current assets</t>
  </si>
  <si>
    <t>Total current assets</t>
  </si>
  <si>
    <t>Total assets</t>
  </si>
  <si>
    <t>Current liabilities:</t>
  </si>
  <si>
    <t>Accounts payable</t>
  </si>
  <si>
    <t>Other current liabilities</t>
  </si>
  <si>
    <t>Total current liabilities</t>
  </si>
  <si>
    <t>Total liabilities</t>
  </si>
  <si>
    <t>Retained earnings</t>
  </si>
  <si>
    <t>BALANCE SHEETS - USD ($) $ in Millions</t>
  </si>
  <si>
    <t>Short-term investments</t>
  </si>
  <si>
    <t>Total cash, cash equivalents, and short-term investments</t>
  </si>
  <si>
    <t>Accounts receivable, net of allowance for doubtful accounts of $411 and $377</t>
  </si>
  <si>
    <t>Other</t>
  </si>
  <si>
    <t>Property and equipment, net of accumulated depreciation of $35,330 and $29,223</t>
  </si>
  <si>
    <t>Operating lease right-of-use assets</t>
  </si>
  <si>
    <t>Equity investments</t>
  </si>
  <si>
    <t>Goodwill</t>
  </si>
  <si>
    <t>Intangible assets, net</t>
  </si>
  <si>
    <t>Other long-term assets</t>
  </si>
  <si>
    <t>Current portion of long-term debt</t>
  </si>
  <si>
    <t>Accrued compensation</t>
  </si>
  <si>
    <t>Short-term income taxes</t>
  </si>
  <si>
    <t>Short-term unearned revenue</t>
  </si>
  <si>
    <t>Long-term debt</t>
  </si>
  <si>
    <t>Long-term income taxes</t>
  </si>
  <si>
    <t>Long-term unearned revenue</t>
  </si>
  <si>
    <t>Deferred income taxes</t>
  </si>
  <si>
    <t>Operating lease liabilities</t>
  </si>
  <si>
    <t>Other long-term liabilities</t>
  </si>
  <si>
    <t>Stockholders’ equity:</t>
  </si>
  <si>
    <t>Common stock and paid-in capital – shares authorized 24,000; outstanding 7,643 and 7,677</t>
  </si>
  <si>
    <t>Accumulated other comprehensive loss</t>
  </si>
  <si>
    <t>Total stockholders’ equity</t>
  </si>
  <si>
    <t>Total liabilities and stockholders' equity</t>
  </si>
  <si>
    <t>Short-term debt</t>
  </si>
  <si>
    <t>Balancing</t>
  </si>
  <si>
    <t>Changes in operating assets and liabilities:</t>
  </si>
  <si>
    <t>CASH FLOWS STATEMENTS - USD ($) $ in Millions</t>
  </si>
  <si>
    <t>Operations</t>
  </si>
  <si>
    <t>Adjustments to reconcile net income to net cash from operations:</t>
  </si>
  <si>
    <t>Depreciation, amortization, and other</t>
  </si>
  <si>
    <t>Stock-based compensation expense</t>
  </si>
  <si>
    <t>Net recognized gains on investments and derivatives</t>
  </si>
  <si>
    <t>Accounts receivable</t>
  </si>
  <si>
    <t>Unearned revenue</t>
  </si>
  <si>
    <t>Income taxes</t>
  </si>
  <si>
    <t>Net cash from operations</t>
  </si>
  <si>
    <t>Financing</t>
  </si>
  <si>
    <t>Repayments of short-term debt, maturities of 90 days or less, net</t>
  </si>
  <si>
    <t>Proceeds from issuance of debt</t>
  </si>
  <si>
    <t>Repayments of debt</t>
  </si>
  <si>
    <t>Common stock issued</t>
  </si>
  <si>
    <t>Common stock repurchased</t>
  </si>
  <si>
    <t>Common stock cash dividends paid</t>
  </si>
  <si>
    <t>Other, net</t>
  </si>
  <si>
    <t>Net cash from (used in) financing</t>
  </si>
  <si>
    <t>Investing</t>
  </si>
  <si>
    <t>Additions to property and equipment</t>
  </si>
  <si>
    <t>Acquisition of companies, net of cash acquired, and purchases of intangible and other assets</t>
  </si>
  <si>
    <t>Purchases of investments</t>
  </si>
  <si>
    <t>Maturities of investments</t>
  </si>
  <si>
    <t>Sales of investments</t>
  </si>
  <si>
    <t>Securities lending payable</t>
  </si>
  <si>
    <t>Net cash used in investing</t>
  </si>
  <si>
    <t>Effect of foreign exchange rates on cash and cash equivalents</t>
  </si>
  <si>
    <t>Net change in cash and cash equivalents</t>
  </si>
  <si>
    <t>Cash and cash equivalents, beginning of period</t>
  </si>
  <si>
    <t>Cash and cash equivalents, end of period</t>
  </si>
  <si>
    <t>Sr No</t>
  </si>
  <si>
    <t>Schedule List</t>
  </si>
  <si>
    <t>YoY Analysis</t>
  </si>
  <si>
    <t>Net Revenue by Segment:</t>
  </si>
  <si>
    <t>Productivity and Business Processes</t>
  </si>
  <si>
    <t>Intelligent Cloud</t>
  </si>
  <si>
    <t>More Personal Computing</t>
  </si>
  <si>
    <t>Total</t>
  </si>
  <si>
    <t>Years</t>
  </si>
  <si>
    <t>Formula</t>
  </si>
  <si>
    <t>Liquidity Ratios</t>
  </si>
  <si>
    <t>Current Ratio</t>
  </si>
  <si>
    <t>CA/CL</t>
  </si>
  <si>
    <t>Quick Ratio</t>
  </si>
  <si>
    <t>(CA-Inventories)/CL</t>
  </si>
  <si>
    <t/>
  </si>
  <si>
    <t>Investor Ratios</t>
  </si>
  <si>
    <t>EPS</t>
  </si>
  <si>
    <t>PAT/NOS</t>
  </si>
  <si>
    <t>Dividend Per Share</t>
  </si>
  <si>
    <t>Dividend / NOS</t>
  </si>
  <si>
    <t>Book Value Per Share</t>
  </si>
  <si>
    <t>Networth / NOS</t>
  </si>
  <si>
    <t>Dividend Pay Out Ratio</t>
  </si>
  <si>
    <t>DPS / EPS   -- Dividend / PAT</t>
  </si>
  <si>
    <t>Retention Ratio</t>
  </si>
  <si>
    <t>1-DPR</t>
  </si>
  <si>
    <t>Credit Ratios</t>
  </si>
  <si>
    <t>Interest Coverage Ratio</t>
  </si>
  <si>
    <t>EBIT / Interest Expense</t>
  </si>
  <si>
    <t>Debt / Equity</t>
  </si>
  <si>
    <t>D/E</t>
  </si>
  <si>
    <t>Debt To Capitalization Ratio</t>
  </si>
  <si>
    <t>Total Debt / Total Equity &amp; Debt</t>
  </si>
  <si>
    <t>Profitibility Ratios</t>
  </si>
  <si>
    <t>Gross Profit Margin</t>
  </si>
  <si>
    <t>GP / Net Sales</t>
  </si>
  <si>
    <t>Ebdita Margin</t>
  </si>
  <si>
    <t>EBDITA / Net Sales</t>
  </si>
  <si>
    <t>Operating Profit Margin (Ebit Margin)</t>
  </si>
  <si>
    <t>EBIT/Net Sales</t>
  </si>
  <si>
    <t>Net Profit Margin</t>
  </si>
  <si>
    <t>Net Profit / Net Sales</t>
  </si>
  <si>
    <t>Return On Asset</t>
  </si>
  <si>
    <t>Net Income / Averegae total Assets</t>
  </si>
  <si>
    <t>Return On Equity</t>
  </si>
  <si>
    <t>Net Income / Average Total Equity</t>
  </si>
  <si>
    <t>Sustainable Growth Rate(G)</t>
  </si>
  <si>
    <t>ROE*(1-DPR)</t>
  </si>
  <si>
    <t>Activity Ratio</t>
  </si>
  <si>
    <t>Asset Turnover Ratio</t>
  </si>
  <si>
    <t>Net Sales / Average Total Assets</t>
  </si>
  <si>
    <t>Account Receivable Turnover</t>
  </si>
  <si>
    <t>Net Sales / average Receivables</t>
  </si>
  <si>
    <t>Recivable Days (Days Sales Outstanding)</t>
  </si>
  <si>
    <t>365 / ARTover</t>
  </si>
  <si>
    <t>Payable Turnover Ratio</t>
  </si>
  <si>
    <t>cogs/average payables</t>
  </si>
  <si>
    <t>Payable Days</t>
  </si>
  <si>
    <t>365/PTOR</t>
  </si>
  <si>
    <t>Inventory Turn Over Ratio</t>
  </si>
  <si>
    <t>COGS/AVERAGEINVENTORY</t>
  </si>
  <si>
    <t>Inventory Days</t>
  </si>
  <si>
    <t>365/AVG.TURN.RATIO</t>
  </si>
  <si>
    <t>Operating Cycle</t>
  </si>
  <si>
    <t>INVENTORY DAYS+RECIVABLES DAYS</t>
  </si>
  <si>
    <t>Cash Operating Cycle</t>
  </si>
  <si>
    <t>INVENTORY DAYS+RECIVABLES DAYS-Payable days</t>
  </si>
  <si>
    <t>Du-Pont Analysis</t>
  </si>
  <si>
    <t>Return On Assets</t>
  </si>
  <si>
    <t>Profit Margin</t>
  </si>
  <si>
    <t>ROA</t>
  </si>
  <si>
    <t>Roe Du Pont 3 Factors</t>
  </si>
  <si>
    <t>Financial Leverage</t>
  </si>
  <si>
    <t>AVG TOTAL ASSETS/AVG TOTAL EQUITY</t>
  </si>
  <si>
    <t>ROE</t>
  </si>
  <si>
    <t>Roe Du Pont 5 Factors Model</t>
  </si>
  <si>
    <t>Tax Efficiency</t>
  </si>
  <si>
    <t>PAT/PBT</t>
  </si>
  <si>
    <t>Intrest Burden</t>
  </si>
  <si>
    <t>PBT/EBIT</t>
  </si>
  <si>
    <t>Opm</t>
  </si>
  <si>
    <t>EBIT/NET SALES</t>
  </si>
  <si>
    <t>Ator</t>
  </si>
  <si>
    <t>NETSALES/TOTAL ASSETS</t>
  </si>
  <si>
    <t>Average Total ASSETS/Average Total Equity</t>
  </si>
  <si>
    <t>Removing Vendor non Trade Receivable</t>
  </si>
  <si>
    <t>cmd +ctrl +alt</t>
  </si>
  <si>
    <t>Valuation Date</t>
  </si>
  <si>
    <t>Book Value</t>
  </si>
  <si>
    <t>Book Value / Share</t>
  </si>
  <si>
    <t>Competitors</t>
  </si>
  <si>
    <t>CMP</t>
  </si>
  <si>
    <t>NOS</t>
  </si>
  <si>
    <t>Networth</t>
  </si>
  <si>
    <t>Net Sales</t>
  </si>
  <si>
    <t>CFO</t>
  </si>
  <si>
    <t>Netwoth / Share</t>
  </si>
  <si>
    <t>Net Sales / Share</t>
  </si>
  <si>
    <t>Cfo/ Share</t>
  </si>
  <si>
    <t>Apple</t>
  </si>
  <si>
    <t>Microsoft</t>
  </si>
  <si>
    <t>Alphabet</t>
  </si>
  <si>
    <t>Price Multiples</t>
  </si>
  <si>
    <t>P/E</t>
  </si>
  <si>
    <t>P/BV</t>
  </si>
  <si>
    <t>P/S</t>
  </si>
  <si>
    <t>P/CFO</t>
  </si>
  <si>
    <t>Industry Multiples</t>
  </si>
  <si>
    <t>Industry Ratio</t>
  </si>
  <si>
    <t>Comparison</t>
  </si>
  <si>
    <t>Industry is average of all Companies in Industry</t>
  </si>
  <si>
    <t>Sell</t>
  </si>
  <si>
    <t>Outliers Concept</t>
  </si>
  <si>
    <t>Outlier</t>
  </si>
  <si>
    <t>P/E Outlier</t>
  </si>
  <si>
    <t>Buy</t>
  </si>
  <si>
    <t>P/BV Outlier</t>
  </si>
  <si>
    <t>Justifed</t>
  </si>
  <si>
    <t>P/S Outlier</t>
  </si>
  <si>
    <t>P/CFO Outlier</t>
  </si>
  <si>
    <t>IBM</t>
  </si>
  <si>
    <t>Amazon</t>
  </si>
  <si>
    <t>Intrinsic Value Microsoft</t>
  </si>
  <si>
    <t>Justified +ve bias</t>
  </si>
  <si>
    <t>Date</t>
  </si>
  <si>
    <t>MSFT</t>
  </si>
  <si>
    <t>Google</t>
  </si>
  <si>
    <t>Justified -ve bias</t>
  </si>
  <si>
    <t>Market Cap</t>
  </si>
  <si>
    <t>Debt</t>
  </si>
  <si>
    <t>Cash</t>
  </si>
  <si>
    <t>Enterprise Value</t>
  </si>
  <si>
    <t>EBIT</t>
  </si>
  <si>
    <t>Sales</t>
  </si>
  <si>
    <t>EV Multiples</t>
  </si>
  <si>
    <t>EV/EBIT</t>
  </si>
  <si>
    <t>EV/Sales</t>
  </si>
  <si>
    <t>EV/CFO</t>
  </si>
  <si>
    <t>EV/Networth</t>
  </si>
  <si>
    <t>EV/EBIT Outlier</t>
  </si>
  <si>
    <t>Outliers</t>
  </si>
  <si>
    <t>EV/Sales Outlier</t>
  </si>
  <si>
    <t>EV/CFO Outlier</t>
  </si>
  <si>
    <t>EV/Networth Outlier</t>
  </si>
  <si>
    <t>Justified</t>
  </si>
  <si>
    <t>Select Case</t>
  </si>
  <si>
    <t>Case/Parameters</t>
  </si>
  <si>
    <t>Average</t>
  </si>
  <si>
    <t>Geomean</t>
  </si>
  <si>
    <t>Min</t>
  </si>
  <si>
    <t>Max</t>
  </si>
  <si>
    <t>Forecast</t>
  </si>
  <si>
    <t>Growth</t>
  </si>
  <si>
    <t>Regression</t>
  </si>
  <si>
    <t>% change</t>
  </si>
  <si>
    <t>Management Input</t>
  </si>
  <si>
    <t>User Input</t>
  </si>
  <si>
    <t>CAGR</t>
  </si>
  <si>
    <t>%CHANGE</t>
  </si>
  <si>
    <t>Year</t>
  </si>
  <si>
    <t>GDP</t>
  </si>
  <si>
    <t>Inflation</t>
  </si>
  <si>
    <t>Net sales</t>
  </si>
  <si>
    <t>%change net sales</t>
  </si>
  <si>
    <t>SUMMARY OUTPUT</t>
  </si>
  <si>
    <t>Regression Statistics</t>
  </si>
  <si>
    <t>Multiple R</t>
  </si>
  <si>
    <t>R Square</t>
  </si>
  <si>
    <t>Adjusted R Square</t>
  </si>
  <si>
    <t>Standard Error</t>
  </si>
  <si>
    <t>Observations</t>
  </si>
  <si>
    <t>ANOVA</t>
  </si>
  <si>
    <t>Residual</t>
  </si>
  <si>
    <t>Intercept</t>
  </si>
  <si>
    <t>df</t>
  </si>
  <si>
    <t>SS</t>
  </si>
  <si>
    <t>MS</t>
  </si>
  <si>
    <t>F</t>
  </si>
  <si>
    <t>Significance F</t>
  </si>
  <si>
    <t>Coefficients</t>
  </si>
  <si>
    <t>t Stat</t>
  </si>
  <si>
    <t>P-value</t>
  </si>
  <si>
    <t>Lower 95%</t>
  </si>
  <si>
    <t>Upper 95%</t>
  </si>
  <si>
    <t>Lower 95.0%</t>
  </si>
  <si>
    <t>Upper 95.0%</t>
  </si>
  <si>
    <t>y=ax+b</t>
  </si>
  <si>
    <t>Net sales=GDP(GDP Coeffi)+Intercept</t>
  </si>
  <si>
    <t>Tax Schedule</t>
  </si>
  <si>
    <t>Effective Tax Rate</t>
  </si>
  <si>
    <t>Corporate Tax Rate</t>
  </si>
  <si>
    <t>Balance Sheet Projection</t>
  </si>
  <si>
    <t>Working Capital Projection</t>
  </si>
  <si>
    <t>Account Paybale Turnover Ratio (COGS / Average Account Payable)</t>
  </si>
  <si>
    <t>Accounts receivable, net</t>
  </si>
  <si>
    <t>Account Receiable Turnover Ratio (Net Sales / Average Receivable)</t>
  </si>
  <si>
    <t>Inventories TurnOver Ratio (COGS / Average Inventory)</t>
  </si>
  <si>
    <t>Other current assets as % Of Sales</t>
  </si>
  <si>
    <t>Other current liabilities as % of Sales</t>
  </si>
  <si>
    <t>Projection NCA &amp; NCL</t>
  </si>
  <si>
    <t>Short-term investments as %of sales</t>
  </si>
  <si>
    <t>Short-term debt as % of Sales</t>
  </si>
  <si>
    <t>Current portion of long-term debt as % of Sales</t>
  </si>
  <si>
    <t>Accrued compensation as % of Sales</t>
  </si>
  <si>
    <t>Short-term income taxes as % of Sales</t>
  </si>
  <si>
    <t>Short-term unearned revenue as % of Sales</t>
  </si>
  <si>
    <t>Property and equipment, net of accumulated depreciation of $35,330 and $29,223 as % of Sales</t>
  </si>
  <si>
    <t>Operating lease right-of-use assets as % of Sales</t>
  </si>
  <si>
    <t>Equity investments as % of Sales</t>
  </si>
  <si>
    <t>Goodwill as % of Sales</t>
  </si>
  <si>
    <t>Intangible assets, net as % of Sales</t>
  </si>
  <si>
    <t>Other long-term assets as % of Sales</t>
  </si>
  <si>
    <t>Cash Premium on debt exchange</t>
  </si>
  <si>
    <t>CFS adjustment to reconcile net income</t>
  </si>
  <si>
    <t>As % of sales</t>
  </si>
  <si>
    <t>Property and equipment cost</t>
  </si>
  <si>
    <t>Accumulated Depriciation</t>
  </si>
  <si>
    <t>Property and equipment net</t>
  </si>
  <si>
    <t>Secudular for Plant Property and Equipment</t>
  </si>
  <si>
    <t>Depriciation</t>
  </si>
  <si>
    <t>As % of Gross Block</t>
  </si>
  <si>
    <t>Gross Block as % of Sales</t>
  </si>
  <si>
    <t>Balance Beginning of period</t>
  </si>
  <si>
    <t>common stock repurchased</t>
  </si>
  <si>
    <t>Balance end of period</t>
  </si>
  <si>
    <t>Retained Earnings</t>
  </si>
  <si>
    <t>common stock cash dividends</t>
  </si>
  <si>
    <t>Cummulative effect of accounting changes</t>
  </si>
  <si>
    <t>Adjustments</t>
  </si>
  <si>
    <t>Discounted Cash Flow</t>
  </si>
  <si>
    <t>Adjusted tax</t>
  </si>
  <si>
    <t>Less Tax</t>
  </si>
  <si>
    <t>NOPAT</t>
  </si>
  <si>
    <t>Add:Depriciation</t>
  </si>
  <si>
    <t>Less:Capex</t>
  </si>
  <si>
    <t>Less:Changes in WC</t>
  </si>
  <si>
    <t>FCFF</t>
  </si>
  <si>
    <t>Less:Interest</t>
  </si>
  <si>
    <t>Less:Principal</t>
  </si>
  <si>
    <t>FCFE</t>
  </si>
  <si>
    <t>WACC</t>
  </si>
  <si>
    <t>CAPM</t>
  </si>
  <si>
    <t>Operating income(EBIT)</t>
  </si>
  <si>
    <t>Interest and dividends income</t>
  </si>
  <si>
    <t>Interest expense</t>
  </si>
  <si>
    <t>Net recognized gains on investments</t>
  </si>
  <si>
    <t>Net gains (losses) on derivatives</t>
  </si>
  <si>
    <t>Net losses on foreign currency remeasurements</t>
  </si>
  <si>
    <t>Other income/expense Schedule</t>
  </si>
  <si>
    <t>Interest expense as % of Debt</t>
  </si>
  <si>
    <t>Close MSFT</t>
  </si>
  <si>
    <t>Close Market</t>
  </si>
  <si>
    <t>% change MSFT</t>
  </si>
  <si>
    <t>% change Market</t>
  </si>
  <si>
    <t>Beta</t>
  </si>
  <si>
    <t>slope</t>
  </si>
  <si>
    <t>Short Term</t>
  </si>
  <si>
    <t>Cost of Equity</t>
  </si>
  <si>
    <t>Ke</t>
  </si>
  <si>
    <t>Rf</t>
  </si>
  <si>
    <t>Rm-Rf</t>
  </si>
  <si>
    <t>We</t>
  </si>
  <si>
    <t>Wd</t>
  </si>
  <si>
    <t>Kd</t>
  </si>
  <si>
    <t>Tax</t>
  </si>
  <si>
    <t>Long Term Entire US Market used for Terminal Value</t>
  </si>
  <si>
    <t>ke</t>
  </si>
  <si>
    <t>Beta of entire market</t>
  </si>
  <si>
    <t>Date as on 13/09/2020</t>
  </si>
  <si>
    <t>Yahoo Finance (5 Yr Daily)</t>
  </si>
  <si>
    <t>Reuters</t>
  </si>
  <si>
    <t>Nasdaq</t>
  </si>
  <si>
    <t>FT</t>
  </si>
  <si>
    <t>Calculated Beta for 1 yr</t>
  </si>
  <si>
    <t>Market Watch</t>
  </si>
  <si>
    <t>Avg Beta</t>
  </si>
  <si>
    <t>1 yr Daily regressed Beta</t>
  </si>
  <si>
    <t>As per FCFF</t>
  </si>
  <si>
    <t>GGM</t>
  </si>
  <si>
    <t>Long term Growth Assumptions</t>
  </si>
  <si>
    <t>As per FCFE</t>
  </si>
  <si>
    <t>Long Term Ke</t>
  </si>
  <si>
    <t>Terminal Value</t>
  </si>
  <si>
    <t>PV Of Terminal Value</t>
  </si>
  <si>
    <t>PV Of Cash Flows</t>
  </si>
  <si>
    <t>Value Of Firm</t>
  </si>
  <si>
    <t>No of Shares</t>
  </si>
  <si>
    <t>Equity Value Of Firm</t>
  </si>
  <si>
    <t>Internsic Value / Share</t>
  </si>
  <si>
    <t>As per FCFF - EV Multiple</t>
  </si>
  <si>
    <t>Industry EV/EBIT Multiple</t>
  </si>
  <si>
    <t>As per FCFE - EV Multiple</t>
  </si>
  <si>
    <t>EBIT MSFT</t>
  </si>
  <si>
    <t>Share Repurchased Amount</t>
  </si>
  <si>
    <t>Average Share Price</t>
  </si>
  <si>
    <t>Valuation date</t>
  </si>
  <si>
    <t xml:space="preserve">52 week high </t>
  </si>
  <si>
    <t>52 week low</t>
  </si>
  <si>
    <t>CMP Avg</t>
  </si>
  <si>
    <t>Intrensic value</t>
  </si>
  <si>
    <t>Valuation Method</t>
  </si>
  <si>
    <t>P/E Avg</t>
  </si>
  <si>
    <t>P/BV Avg</t>
  </si>
  <si>
    <t>P/S Avg</t>
  </si>
  <si>
    <t>P/CFO Avg</t>
  </si>
  <si>
    <t>FCFF-GGM</t>
  </si>
  <si>
    <t>FCFF-Exit Value</t>
  </si>
  <si>
    <t>FCFE-GGM</t>
  </si>
  <si>
    <t>FCFE-Exit Value</t>
  </si>
  <si>
    <t>%change</t>
  </si>
  <si>
    <t>1st Target</t>
  </si>
  <si>
    <t>Sensitivity Analysis</t>
  </si>
  <si>
    <t>Long Term Growth Rate</t>
  </si>
  <si>
    <t>Short Term Ke</t>
  </si>
  <si>
    <t>Income statement</t>
  </si>
  <si>
    <t>% Change</t>
  </si>
  <si>
    <t>2021 E</t>
  </si>
  <si>
    <t>2022 E</t>
  </si>
  <si>
    <t>2023 E</t>
  </si>
  <si>
    <t>Gross Profit</t>
  </si>
  <si>
    <t>Operating Profit</t>
  </si>
  <si>
    <t>Operating Profit Margin</t>
  </si>
  <si>
    <t>Net Profit</t>
  </si>
  <si>
    <t>Financial Statements</t>
  </si>
  <si>
    <t>2nd Target</t>
  </si>
  <si>
    <t>Dividend paid</t>
  </si>
  <si>
    <t>Retained Earnings or cash to BS</t>
  </si>
  <si>
    <t>IS!A1</t>
  </si>
  <si>
    <t>VALUATIONS</t>
  </si>
  <si>
    <t>PBT Margin</t>
  </si>
  <si>
    <t>PBT/Net sales</t>
  </si>
  <si>
    <t>Interest paid</t>
  </si>
  <si>
    <t>Income tax</t>
  </si>
  <si>
    <t>Interest Paid</t>
  </si>
  <si>
    <t>RATIOS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</si>
</sst>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64" formatCode="&quot;$&quot;#,##0_);[Red]\(&quot;$&quot;#,##0\)"/>
    <numFmt numFmtId="165" formatCode="&quot;$&quot;#,##0.00_);[Red]\(&quot;$&quot;#,##0.00\)"/>
    <numFmt numFmtId="166" formatCode="0.0000000000000000%"/>
    <numFmt numFmtId="167" formatCode="0.00\ \x"/>
    <numFmt numFmtId="168" formatCode="0.0000"/>
    <numFmt numFmtId="169" formatCode="0.000%"/>
    <numFmt numFmtId="170" formatCode="0.0%"/>
    <numFmt numFmtId="171" formatCode="[$$-409]#,##0.00"/>
  </numFmts>
  <fonts count="33" x14ac:knownFonts="1">
    <font>
      <sz val="11"/>
      <color theme="1"/>
      <name val="Calibri"/>
      <family val="2"/>
      <scheme val="minor"/>
    </font>
    <font>
      <sz val="11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sz val="16"/>
      <name val="Algerian"/>
      <family val="5"/>
    </font>
    <font>
      <sz val="11"/>
      <color theme="1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3"/>
      <color theme="3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FFC00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5" tint="-0.249977111117893"/>
      <name val="Calibri"/>
      <family val="2"/>
      <scheme val="minor"/>
    </font>
    <font>
      <b/>
      <sz val="11"/>
      <color rgb="FFFFFFFF"/>
      <name val="Calibri"/>
      <family val="2"/>
    </font>
    <font>
      <b/>
      <sz val="11"/>
      <color rgb="FF833C0C"/>
      <name val="Calibri"/>
      <family val="2"/>
    </font>
    <font>
      <sz val="11"/>
      <color theme="1"/>
      <name val="Calibri"/>
      <family val="2"/>
    </font>
    <font>
      <b/>
      <sz val="11"/>
      <color theme="5" tint="-0.499984740745262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name val="Calibri"/>
      <family val="2"/>
      <scheme val="minor"/>
    </font>
    <font>
      <sz val="11"/>
      <color theme="3"/>
      <name val="Calibri"/>
      <family val="2"/>
      <scheme val="minor"/>
    </font>
    <font>
      <sz val="16"/>
      <color theme="1"/>
      <name val="Algerian"/>
      <family val="5"/>
    </font>
    <font>
      <sz val="4"/>
      <color theme="1"/>
      <name val="Arial"/>
      <family val="2"/>
    </font>
    <font>
      <b/>
      <sz val="16"/>
      <color theme="0"/>
      <name val="Calibri"/>
      <family val="2"/>
      <scheme val="minor"/>
    </font>
    <font>
      <sz val="16"/>
      <color rgb="FFFF0000"/>
      <name val="Calibri"/>
      <family val="2"/>
      <scheme val="minor"/>
    </font>
  </fonts>
  <fills count="28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theme="5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203764"/>
        <bgColor rgb="FF000000"/>
      </patternFill>
    </fill>
    <fill>
      <patternFill patternType="solid">
        <fgColor rgb="FFD6DCE4"/>
        <bgColor rgb="FF000000"/>
      </patternFill>
    </fill>
    <fill>
      <patternFill patternType="solid">
        <fgColor rgb="FF8497B0"/>
        <bgColor rgb="FF000000"/>
      </patternFill>
    </fill>
    <fill>
      <patternFill patternType="solid">
        <fgColor rgb="FFF8CBAD"/>
        <bgColor rgb="FF000000"/>
      </patternFill>
    </fill>
    <fill>
      <patternFill patternType="solid">
        <fgColor rgb="FF44546A"/>
        <bgColor rgb="FF000000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</fills>
  <borders count="4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theme="4" tint="0.59999389629810485"/>
      </right>
      <top/>
      <bottom style="medium">
        <color theme="4" tint="0.39997558519241921"/>
      </bottom>
      <diagonal/>
    </border>
    <border>
      <left style="thin">
        <color theme="4" tint="0.59999389629810485"/>
      </left>
      <right style="thin">
        <color theme="4" tint="0.59999389629810485"/>
      </right>
      <top/>
      <bottom/>
      <diagonal/>
    </border>
    <border>
      <left/>
      <right style="thin">
        <color theme="4" tint="0.59999389629810485"/>
      </right>
      <top/>
      <bottom/>
      <diagonal/>
    </border>
    <border>
      <left/>
      <right style="thin">
        <color theme="4" tint="0.59999389629810485"/>
      </right>
      <top style="thin">
        <color theme="4"/>
      </top>
      <bottom style="double">
        <color theme="4"/>
      </bottom>
      <diagonal/>
    </border>
    <border>
      <left style="medium">
        <color rgb="FFDDDDDD"/>
      </left>
      <right style="medium">
        <color rgb="FFDDDDDD"/>
      </right>
      <top style="medium">
        <color rgb="FFDDDDDD"/>
      </top>
      <bottom style="medium">
        <color rgb="FFDDDDDD"/>
      </bottom>
      <diagonal/>
    </border>
    <border>
      <left style="thin">
        <color theme="4" tint="0.59999389629810485"/>
      </left>
      <right/>
      <top/>
      <bottom/>
      <diagonal/>
    </border>
    <border>
      <left style="thin">
        <color theme="4" tint="0.59999389629810485"/>
      </left>
      <right/>
      <top style="thin">
        <color theme="4"/>
      </top>
      <bottom style="double">
        <color theme="4"/>
      </bottom>
      <diagonal/>
    </border>
  </borders>
  <cellStyleXfs count="8">
    <xf numFmtId="0" fontId="0" fillId="0" borderId="0"/>
    <xf numFmtId="0" fontId="11" fillId="3" borderId="0" applyNumberFormat="0" applyBorder="0" applyAlignment="0" applyProtection="0"/>
    <xf numFmtId="0" fontId="10" fillId="0" borderId="37" applyNumberFormat="0" applyFill="0" applyAlignment="0" applyProtection="0"/>
    <xf numFmtId="0" fontId="8" fillId="0" borderId="35" applyNumberFormat="0" applyFill="0" applyAlignment="0" applyProtection="0"/>
    <xf numFmtId="0" fontId="12" fillId="0" borderId="0" applyNumberFormat="0" applyFill="0" applyBorder="0" applyAlignment="0" applyProtection="0"/>
    <xf numFmtId="0" fontId="7" fillId="2" borderId="38" applyNumberFormat="0" applyFont="0" applyAlignment="0" applyProtection="0"/>
    <xf numFmtId="9" fontId="7" fillId="0" borderId="0" applyFont="0" applyFill="0" applyBorder="0" applyAlignment="0" applyProtection="0"/>
    <xf numFmtId="0" fontId="9" fillId="0" borderId="36" applyNumberFormat="0" applyFill="0" applyAlignment="0" applyProtection="0"/>
  </cellStyleXfs>
  <cellXfs count="266">
    <xf numFmtId="0" fontId="0" fillId="0" borderId="0" xfId="0"/>
    <xf numFmtId="0" fontId="0" fillId="0" borderId="0" xfId="0" applyAlignment="1">
      <alignment horizontal="left" indent="2"/>
    </xf>
    <xf numFmtId="0" fontId="9" fillId="0" borderId="36" xfId="7"/>
    <xf numFmtId="0" fontId="11" fillId="4" borderId="0" xfId="0" applyFont="1" applyFill="1"/>
    <xf numFmtId="0" fontId="9" fillId="0" borderId="36" xfId="7" applyAlignment="1">
      <alignment horizontal="left"/>
    </xf>
    <xf numFmtId="0" fontId="13" fillId="5" borderId="35" xfId="3" applyFont="1" applyFill="1"/>
    <xf numFmtId="2" fontId="9" fillId="0" borderId="36" xfId="7" applyNumberFormat="1"/>
    <xf numFmtId="0" fontId="11" fillId="6" borderId="0" xfId="0" applyFont="1" applyFill="1"/>
    <xf numFmtId="0" fontId="0" fillId="0" borderId="0" xfId="0" applyAlignment="1">
      <alignment horizontal="left" wrapText="1" indent="2"/>
    </xf>
    <xf numFmtId="0" fontId="10" fillId="0" borderId="37" xfId="2" applyAlignment="1">
      <alignment horizontal="center"/>
    </xf>
    <xf numFmtId="0" fontId="8" fillId="0" borderId="35" xfId="3"/>
    <xf numFmtId="10" fontId="7" fillId="0" borderId="0" xfId="6" applyNumberFormat="1" applyFont="1"/>
    <xf numFmtId="1" fontId="14" fillId="0" borderId="0" xfId="6" applyNumberFormat="1" applyFont="1"/>
    <xf numFmtId="0" fontId="8" fillId="0" borderId="35" xfId="3" applyAlignment="1">
      <alignment horizontal="left" indent="2"/>
    </xf>
    <xf numFmtId="9" fontId="7" fillId="0" borderId="0" xfId="6" applyFont="1"/>
    <xf numFmtId="166" fontId="0" fillId="0" borderId="0" xfId="0" applyNumberFormat="1"/>
    <xf numFmtId="3" fontId="0" fillId="0" borderId="0" xfId="0" applyNumberFormat="1"/>
    <xf numFmtId="3" fontId="9" fillId="0" borderId="36" xfId="7" applyNumberFormat="1"/>
    <xf numFmtId="0" fontId="0" fillId="7" borderId="0" xfId="0" applyFill="1"/>
    <xf numFmtId="0" fontId="8" fillId="0" borderId="39" xfId="3" applyBorder="1"/>
    <xf numFmtId="0" fontId="0" fillId="0" borderId="40" xfId="0" applyBorder="1" applyAlignment="1">
      <alignment horizontal="left"/>
    </xf>
    <xf numFmtId="0" fontId="0" fillId="0" borderId="41" xfId="0" applyBorder="1" applyAlignment="1">
      <alignment horizontal="left" indent="2"/>
    </xf>
    <xf numFmtId="0" fontId="0" fillId="0" borderId="40" xfId="0" applyBorder="1" applyAlignment="1">
      <alignment horizontal="left" indent="5"/>
    </xf>
    <xf numFmtId="4" fontId="0" fillId="0" borderId="0" xfId="0" applyNumberFormat="1"/>
    <xf numFmtId="2" fontId="0" fillId="0" borderId="0" xfId="0" applyNumberFormat="1"/>
    <xf numFmtId="0" fontId="0" fillId="0" borderId="41" xfId="0" applyBorder="1"/>
    <xf numFmtId="9" fontId="0" fillId="0" borderId="0" xfId="0" applyNumberFormat="1"/>
    <xf numFmtId="0" fontId="9" fillId="0" borderId="42" xfId="7" applyBorder="1"/>
    <xf numFmtId="0" fontId="7" fillId="2" borderId="38" xfId="5" applyFont="1"/>
    <xf numFmtId="2" fontId="0" fillId="8" borderId="0" xfId="0" applyNumberFormat="1" applyFill="1"/>
    <xf numFmtId="0" fontId="13" fillId="4" borderId="0" xfId="0" applyFont="1" applyFill="1" applyAlignment="1">
      <alignment horizontal="left"/>
    </xf>
    <xf numFmtId="14" fontId="13" fillId="4" borderId="0" xfId="0" applyNumberFormat="1" applyFont="1" applyFill="1" applyAlignment="1">
      <alignment horizontal="center"/>
    </xf>
    <xf numFmtId="0" fontId="13" fillId="0" borderId="0" xfId="0" applyFont="1" applyAlignment="1">
      <alignment horizontal="left"/>
    </xf>
    <xf numFmtId="14" fontId="13" fillId="0" borderId="0" xfId="0" applyNumberFormat="1" applyFont="1" applyAlignment="1">
      <alignment horizontal="center"/>
    </xf>
    <xf numFmtId="0" fontId="9" fillId="0" borderId="1" xfId="0" applyFont="1" applyBorder="1"/>
    <xf numFmtId="0" fontId="9" fillId="0" borderId="2" xfId="0" applyFont="1" applyBorder="1" applyAlignment="1">
      <alignment horizontal="center"/>
    </xf>
    <xf numFmtId="0" fontId="9" fillId="0" borderId="3" xfId="0" applyFont="1" applyBorder="1" applyAlignment="1">
      <alignment horizontal="center"/>
    </xf>
    <xf numFmtId="0" fontId="9" fillId="0" borderId="0" xfId="0" applyFont="1"/>
    <xf numFmtId="0" fontId="0" fillId="0" borderId="4" xfId="0" applyBorder="1"/>
    <xf numFmtId="165" fontId="0" fillId="0" borderId="0" xfId="0" applyNumberFormat="1" applyAlignment="1">
      <alignment horizontal="center"/>
    </xf>
    <xf numFmtId="37" fontId="1" fillId="0" borderId="0" xfId="0" applyNumberFormat="1" applyFont="1" applyAlignment="1">
      <alignment horizontal="center"/>
    </xf>
    <xf numFmtId="39" fontId="1" fillId="0" borderId="0" xfId="0" applyNumberFormat="1" applyFont="1" applyAlignment="1">
      <alignment horizontal="center"/>
    </xf>
    <xf numFmtId="37" fontId="1" fillId="9" borderId="1" xfId="0" applyNumberFormat="1" applyFont="1" applyFill="1" applyBorder="1" applyAlignment="1">
      <alignment horizontal="center" vertical="top"/>
    </xf>
    <xf numFmtId="2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39" fontId="0" fillId="0" borderId="0" xfId="0" applyNumberFormat="1" applyAlignment="1">
      <alignment horizontal="center"/>
    </xf>
    <xf numFmtId="0" fontId="0" fillId="0" borderId="5" xfId="0" applyBorder="1"/>
    <xf numFmtId="165" fontId="0" fillId="0" borderId="6" xfId="0" applyNumberFormat="1" applyBorder="1" applyAlignment="1">
      <alignment horizontal="center"/>
    </xf>
    <xf numFmtId="0" fontId="0" fillId="0" borderId="6" xfId="0" applyBorder="1" applyAlignment="1">
      <alignment horizontal="center"/>
    </xf>
    <xf numFmtId="39" fontId="0" fillId="0" borderId="6" xfId="0" applyNumberFormat="1" applyBorder="1" applyAlignment="1">
      <alignment horizontal="center"/>
    </xf>
    <xf numFmtId="0" fontId="0" fillId="0" borderId="7" xfId="0" applyBorder="1"/>
    <xf numFmtId="167" fontId="0" fillId="0" borderId="0" xfId="0" applyNumberFormat="1"/>
    <xf numFmtId="37" fontId="1" fillId="0" borderId="0" xfId="0" applyNumberFormat="1" applyFont="1" applyAlignment="1">
      <alignment horizontal="center" vertical="top"/>
    </xf>
    <xf numFmtId="167" fontId="0" fillId="10" borderId="0" xfId="0" applyNumberFormat="1" applyFill="1"/>
    <xf numFmtId="0" fontId="0" fillId="0" borderId="8" xfId="0" applyBorder="1"/>
    <xf numFmtId="0" fontId="9" fillId="2" borderId="38" xfId="5" applyFont="1"/>
    <xf numFmtId="167" fontId="0" fillId="0" borderId="0" xfId="0" applyNumberFormat="1" applyAlignment="1">
      <alignment horizontal="center"/>
    </xf>
    <xf numFmtId="4" fontId="0" fillId="0" borderId="0" xfId="0" applyNumberFormat="1" applyAlignment="1">
      <alignment horizontal="center"/>
    </xf>
    <xf numFmtId="0" fontId="13" fillId="4" borderId="0" xfId="0" applyFont="1" applyFill="1"/>
    <xf numFmtId="0" fontId="13" fillId="4" borderId="0" xfId="0" applyFont="1" applyFill="1" applyAlignment="1">
      <alignment horizontal="center"/>
    </xf>
    <xf numFmtId="9" fontId="0" fillId="0" borderId="4" xfId="0" applyNumberFormat="1" applyBorder="1" applyAlignment="1">
      <alignment horizontal="center"/>
    </xf>
    <xf numFmtId="9" fontId="0" fillId="0" borderId="5" xfId="0" applyNumberFormat="1" applyBorder="1" applyAlignment="1">
      <alignment horizontal="center"/>
    </xf>
    <xf numFmtId="37" fontId="1" fillId="9" borderId="0" xfId="0" applyNumberFormat="1" applyFont="1" applyFill="1" applyAlignment="1">
      <alignment horizontal="center" vertical="top"/>
    </xf>
    <xf numFmtId="167" fontId="15" fillId="10" borderId="0" xfId="0" applyNumberFormat="1" applyFont="1" applyFill="1"/>
    <xf numFmtId="167" fontId="15" fillId="11" borderId="9" xfId="0" applyNumberFormat="1" applyFont="1" applyFill="1" applyBorder="1"/>
    <xf numFmtId="167" fontId="15" fillId="11" borderId="6" xfId="0" applyNumberFormat="1" applyFont="1" applyFill="1" applyBorder="1"/>
    <xf numFmtId="14" fontId="0" fillId="0" borderId="0" xfId="0" applyNumberFormat="1"/>
    <xf numFmtId="167" fontId="15" fillId="11" borderId="0" xfId="0" applyNumberFormat="1" applyFont="1" applyFill="1"/>
    <xf numFmtId="167" fontId="0" fillId="12" borderId="0" xfId="0" applyNumberFormat="1" applyFill="1"/>
    <xf numFmtId="0" fontId="0" fillId="13" borderId="0" xfId="0" applyFill="1"/>
    <xf numFmtId="0" fontId="9" fillId="13" borderId="0" xfId="0" applyFont="1" applyFill="1"/>
    <xf numFmtId="37" fontId="1" fillId="0" borderId="9" xfId="0" applyNumberFormat="1" applyFont="1" applyBorder="1" applyAlignment="1">
      <alignment horizontal="center" vertical="top"/>
    </xf>
    <xf numFmtId="3" fontId="0" fillId="0" borderId="10" xfId="0" applyNumberFormat="1" applyBorder="1" applyAlignment="1">
      <alignment horizontal="center"/>
    </xf>
    <xf numFmtId="2" fontId="0" fillId="0" borderId="7" xfId="0" applyNumberFormat="1" applyBorder="1"/>
    <xf numFmtId="37" fontId="1" fillId="0" borderId="6" xfId="0" applyNumberFormat="1" applyFont="1" applyBorder="1" applyAlignment="1">
      <alignment horizontal="center" vertical="top"/>
    </xf>
    <xf numFmtId="3" fontId="0" fillId="0" borderId="6" xfId="0" applyNumberFormat="1" applyBorder="1" applyAlignment="1">
      <alignment horizontal="center"/>
    </xf>
    <xf numFmtId="3" fontId="0" fillId="0" borderId="11" xfId="0" applyNumberFormat="1" applyBorder="1" applyAlignment="1">
      <alignment horizontal="center"/>
    </xf>
    <xf numFmtId="167" fontId="0" fillId="0" borderId="12" xfId="0" applyNumberFormat="1" applyBorder="1" applyAlignment="1">
      <alignment horizontal="center"/>
    </xf>
    <xf numFmtId="167" fontId="0" fillId="0" borderId="9" xfId="0" applyNumberFormat="1" applyBorder="1" applyAlignment="1">
      <alignment horizontal="center"/>
    </xf>
    <xf numFmtId="37" fontId="1" fillId="0" borderId="9" xfId="0" applyNumberFormat="1" applyFont="1" applyBorder="1" applyAlignment="1">
      <alignment horizontal="center"/>
    </xf>
    <xf numFmtId="167" fontId="0" fillId="0" borderId="7" xfId="0" applyNumberFormat="1" applyBorder="1" applyAlignment="1">
      <alignment horizontal="center"/>
    </xf>
    <xf numFmtId="0" fontId="0" fillId="14" borderId="0" xfId="0" applyFill="1"/>
    <xf numFmtId="167" fontId="0" fillId="10" borderId="12" xfId="0" applyNumberFormat="1" applyFill="1" applyBorder="1" applyAlignment="1">
      <alignment horizontal="center"/>
    </xf>
    <xf numFmtId="167" fontId="0" fillId="10" borderId="9" xfId="0" applyNumberFormat="1" applyFill="1" applyBorder="1" applyAlignment="1">
      <alignment horizontal="center"/>
    </xf>
    <xf numFmtId="0" fontId="9" fillId="0" borderId="13" xfId="0" applyFont="1" applyBorder="1"/>
    <xf numFmtId="0" fontId="9" fillId="0" borderId="14" xfId="0" applyFont="1" applyBorder="1" applyAlignment="1">
      <alignment horizontal="center"/>
    </xf>
    <xf numFmtId="0" fontId="9" fillId="0" borderId="15" xfId="0" applyFont="1" applyBorder="1" applyAlignment="1">
      <alignment horizontal="center"/>
    </xf>
    <xf numFmtId="0" fontId="9" fillId="13" borderId="16" xfId="0" applyFont="1" applyFill="1" applyBorder="1"/>
    <xf numFmtId="0" fontId="9" fillId="0" borderId="17" xfId="0" applyFont="1" applyBorder="1"/>
    <xf numFmtId="0" fontId="9" fillId="0" borderId="16" xfId="0" applyFont="1" applyBorder="1" applyAlignment="1">
      <alignment horizontal="center"/>
    </xf>
    <xf numFmtId="0" fontId="9" fillId="0" borderId="18" xfId="0" applyFont="1" applyBorder="1" applyAlignment="1">
      <alignment horizontal="center"/>
    </xf>
    <xf numFmtId="0" fontId="0" fillId="0" borderId="19" xfId="0" applyBorder="1"/>
    <xf numFmtId="3" fontId="0" fillId="0" borderId="0" xfId="0" applyNumberFormat="1" applyAlignment="1">
      <alignment horizontal="center"/>
    </xf>
    <xf numFmtId="2" fontId="0" fillId="0" borderId="20" xfId="0" applyNumberFormat="1" applyBorder="1" applyAlignment="1">
      <alignment horizontal="center"/>
    </xf>
    <xf numFmtId="37" fontId="1" fillId="13" borderId="0" xfId="0" applyNumberFormat="1" applyFont="1" applyFill="1" applyAlignment="1">
      <alignment horizontal="right" vertical="top"/>
    </xf>
    <xf numFmtId="0" fontId="0" fillId="0" borderId="21" xfId="0" applyBorder="1"/>
    <xf numFmtId="0" fontId="0" fillId="0" borderId="22" xfId="0" applyBorder="1"/>
    <xf numFmtId="165" fontId="0" fillId="0" borderId="23" xfId="0" applyNumberFormat="1" applyBorder="1" applyAlignment="1">
      <alignment horizontal="center"/>
    </xf>
    <xf numFmtId="0" fontId="0" fillId="0" borderId="23" xfId="0" applyBorder="1" applyAlignment="1">
      <alignment horizontal="center"/>
    </xf>
    <xf numFmtId="37" fontId="1" fillId="0" borderId="24" xfId="0" applyNumberFormat="1" applyFont="1" applyBorder="1" applyAlignment="1">
      <alignment horizontal="center" vertical="top"/>
    </xf>
    <xf numFmtId="37" fontId="1" fillId="0" borderId="23" xfId="0" applyNumberFormat="1" applyFont="1" applyBorder="1" applyAlignment="1">
      <alignment horizontal="center" vertical="top"/>
    </xf>
    <xf numFmtId="3" fontId="0" fillId="0" borderId="23" xfId="0" applyNumberFormat="1" applyBorder="1" applyAlignment="1">
      <alignment horizontal="center"/>
    </xf>
    <xf numFmtId="3" fontId="0" fillId="0" borderId="25" xfId="0" applyNumberFormat="1" applyBorder="1" applyAlignment="1">
      <alignment horizontal="center"/>
    </xf>
    <xf numFmtId="0" fontId="0" fillId="13" borderId="23" xfId="0" applyFill="1" applyBorder="1"/>
    <xf numFmtId="0" fontId="0" fillId="0" borderId="26" xfId="0" applyBorder="1"/>
    <xf numFmtId="0" fontId="0" fillId="0" borderId="23" xfId="0" applyBorder="1"/>
    <xf numFmtId="2" fontId="0" fillId="0" borderId="23" xfId="0" applyNumberFormat="1" applyBorder="1" applyAlignment="1">
      <alignment horizontal="center"/>
    </xf>
    <xf numFmtId="2" fontId="0" fillId="0" borderId="27" xfId="0" applyNumberFormat="1" applyBorder="1" applyAlignment="1">
      <alignment horizontal="center"/>
    </xf>
    <xf numFmtId="167" fontId="0" fillId="0" borderId="28" xfId="0" applyNumberFormat="1" applyBorder="1" applyAlignment="1">
      <alignment horizontal="center"/>
    </xf>
    <xf numFmtId="167" fontId="0" fillId="0" borderId="29" xfId="0" applyNumberFormat="1" applyBorder="1" applyAlignment="1">
      <alignment horizontal="center"/>
    </xf>
    <xf numFmtId="167" fontId="0" fillId="0" borderId="24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37" fontId="1" fillId="0" borderId="28" xfId="0" applyNumberFormat="1" applyFont="1" applyBorder="1" applyAlignment="1">
      <alignment horizontal="center"/>
    </xf>
    <xf numFmtId="167" fontId="0" fillId="0" borderId="26" xfId="0" applyNumberFormat="1" applyBorder="1" applyAlignment="1">
      <alignment horizontal="center"/>
    </xf>
    <xf numFmtId="37" fontId="1" fillId="0" borderId="30" xfId="0" applyNumberFormat="1" applyFont="1" applyBorder="1" applyAlignment="1">
      <alignment horizontal="center"/>
    </xf>
    <xf numFmtId="0" fontId="13" fillId="4" borderId="31" xfId="0" applyFont="1" applyFill="1" applyBorder="1" applyAlignment="1">
      <alignment horizontal="center"/>
    </xf>
    <xf numFmtId="9" fontId="0" fillId="0" borderId="19" xfId="0" applyNumberFormat="1" applyBorder="1" applyAlignment="1">
      <alignment horizontal="center"/>
    </xf>
    <xf numFmtId="9" fontId="0" fillId="0" borderId="22" xfId="0" applyNumberFormat="1" applyBorder="1" applyAlignment="1">
      <alignment horizontal="center"/>
    </xf>
    <xf numFmtId="167" fontId="0" fillId="10" borderId="29" xfId="0" applyNumberFormat="1" applyFill="1" applyBorder="1" applyAlignment="1">
      <alignment horizontal="center"/>
    </xf>
    <xf numFmtId="167" fontId="0" fillId="10" borderId="24" xfId="0" applyNumberFormat="1" applyFill="1" applyBorder="1" applyAlignment="1">
      <alignment horizontal="center"/>
    </xf>
    <xf numFmtId="167" fontId="0" fillId="10" borderId="28" xfId="0" applyNumberFormat="1" applyFill="1" applyBorder="1" applyAlignment="1">
      <alignment horizontal="center"/>
    </xf>
    <xf numFmtId="37" fontId="1" fillId="0" borderId="9" xfId="0" applyNumberFormat="1" applyFont="1" applyBorder="1" applyAlignment="1">
      <alignment horizontal="left"/>
    </xf>
    <xf numFmtId="1" fontId="16" fillId="15" borderId="43" xfId="0" applyNumberFormat="1" applyFont="1" applyFill="1" applyBorder="1" applyAlignment="1">
      <alignment horizontal="right" vertical="center" wrapText="1"/>
    </xf>
    <xf numFmtId="0" fontId="16" fillId="15" borderId="43" xfId="0" applyFont="1" applyFill="1" applyBorder="1" applyAlignment="1">
      <alignment horizontal="right" vertical="center" wrapText="1"/>
    </xf>
    <xf numFmtId="10" fontId="17" fillId="0" borderId="0" xfId="6" applyNumberFormat="1" applyFont="1"/>
    <xf numFmtId="10" fontId="18" fillId="0" borderId="0" xfId="6" applyNumberFormat="1" applyFont="1"/>
    <xf numFmtId="10" fontId="0" fillId="0" borderId="0" xfId="0" applyNumberFormat="1"/>
    <xf numFmtId="0" fontId="17" fillId="0" borderId="0" xfId="0" applyFont="1"/>
    <xf numFmtId="168" fontId="0" fillId="0" borderId="0" xfId="0" applyNumberFormat="1"/>
    <xf numFmtId="169" fontId="7" fillId="0" borderId="0" xfId="6" applyNumberFormat="1" applyFont="1"/>
    <xf numFmtId="0" fontId="19" fillId="0" borderId="14" xfId="0" applyFont="1" applyBorder="1" applyAlignment="1">
      <alignment horizontal="center"/>
    </xf>
    <xf numFmtId="0" fontId="19" fillId="0" borderId="14" xfId="0" applyFont="1" applyBorder="1" applyAlignment="1">
      <alignment horizontal="centerContinuous"/>
    </xf>
    <xf numFmtId="10" fontId="7" fillId="0" borderId="0" xfId="6" applyNumberFormat="1" applyFont="1" applyFill="1" applyBorder="1" applyAlignment="1"/>
    <xf numFmtId="10" fontId="17" fillId="0" borderId="0" xfId="6" applyNumberFormat="1" applyFont="1" applyFill="1" applyBorder="1" applyAlignment="1"/>
    <xf numFmtId="10" fontId="20" fillId="0" borderId="0" xfId="6" applyNumberFormat="1" applyFont="1" applyFill="1" applyBorder="1" applyAlignment="1"/>
    <xf numFmtId="1" fontId="0" fillId="0" borderId="0" xfId="0" applyNumberFormat="1"/>
    <xf numFmtId="1" fontId="9" fillId="0" borderId="36" xfId="7" applyNumberFormat="1"/>
    <xf numFmtId="0" fontId="21" fillId="16" borderId="0" xfId="0" applyFont="1" applyFill="1"/>
    <xf numFmtId="0" fontId="21" fillId="16" borderId="0" xfId="0" applyFont="1" applyFill="1" applyAlignment="1">
      <alignment horizontal="center"/>
    </xf>
    <xf numFmtId="0" fontId="22" fillId="17" borderId="0" xfId="0" applyFont="1" applyFill="1"/>
    <xf numFmtId="0" fontId="23" fillId="18" borderId="0" xfId="0" applyFont="1" applyFill="1"/>
    <xf numFmtId="0" fontId="23" fillId="0" borderId="0" xfId="0" applyFont="1" applyAlignment="1">
      <alignment horizontal="left" indent="2"/>
    </xf>
    <xf numFmtId="0" fontId="23" fillId="0" borderId="1" xfId="0" applyFont="1" applyBorder="1"/>
    <xf numFmtId="0" fontId="23" fillId="19" borderId="0" xfId="0" applyFont="1" applyFill="1" applyAlignment="1">
      <alignment horizontal="left" indent="5"/>
    </xf>
    <xf numFmtId="0" fontId="23" fillId="20" borderId="1" xfId="0" applyFont="1" applyFill="1" applyBorder="1"/>
    <xf numFmtId="1" fontId="23" fillId="19" borderId="1" xfId="0" applyNumberFormat="1" applyFont="1" applyFill="1" applyBorder="1"/>
    <xf numFmtId="0" fontId="23" fillId="19" borderId="1" xfId="0" applyFont="1" applyFill="1" applyBorder="1" applyAlignment="1">
      <alignment horizontal="left" indent="5"/>
    </xf>
    <xf numFmtId="0" fontId="23" fillId="19" borderId="1" xfId="0" applyFont="1" applyFill="1" applyBorder="1" applyAlignment="1">
      <alignment horizontal="left" indent="4"/>
    </xf>
    <xf numFmtId="0" fontId="23" fillId="18" borderId="0" xfId="0" applyFont="1" applyFill="1" applyAlignment="1">
      <alignment horizontal="left" indent="2"/>
    </xf>
    <xf numFmtId="1" fontId="23" fillId="0" borderId="1" xfId="0" applyNumberFormat="1" applyFont="1" applyBorder="1"/>
    <xf numFmtId="0" fontId="24" fillId="21" borderId="0" xfId="0" applyFont="1" applyFill="1"/>
    <xf numFmtId="0" fontId="0" fillId="21" borderId="0" xfId="0" applyFill="1"/>
    <xf numFmtId="170" fontId="23" fillId="0" borderId="1" xfId="6" applyNumberFormat="1" applyFont="1" applyFill="1" applyBorder="1"/>
    <xf numFmtId="170" fontId="7" fillId="0" borderId="0" xfId="6" applyNumberFormat="1" applyFont="1"/>
    <xf numFmtId="170" fontId="0" fillId="0" borderId="0" xfId="0" applyNumberFormat="1"/>
    <xf numFmtId="0" fontId="0" fillId="9" borderId="0" xfId="0" applyFill="1"/>
    <xf numFmtId="1" fontId="0" fillId="9" borderId="0" xfId="0" applyNumberFormat="1" applyFill="1"/>
    <xf numFmtId="1" fontId="9" fillId="9" borderId="36" xfId="7" applyNumberFormat="1" applyFill="1"/>
    <xf numFmtId="0" fontId="0" fillId="0" borderId="0" xfId="0" applyAlignment="1">
      <alignment horizontal="left" indent="4"/>
    </xf>
    <xf numFmtId="0" fontId="0" fillId="5" borderId="0" xfId="0" applyFill="1"/>
    <xf numFmtId="1" fontId="7" fillId="0" borderId="0" xfId="6" applyNumberFormat="1" applyFont="1"/>
    <xf numFmtId="0" fontId="0" fillId="8" borderId="0" xfId="0" applyFill="1" applyAlignment="1">
      <alignment horizontal="left" indent="2"/>
    </xf>
    <xf numFmtId="0" fontId="0" fillId="8" borderId="0" xfId="0" applyFill="1"/>
    <xf numFmtId="1" fontId="0" fillId="8" borderId="0" xfId="0" applyNumberFormat="1" applyFill="1"/>
    <xf numFmtId="0" fontId="8" fillId="5" borderId="35" xfId="3" applyFill="1"/>
    <xf numFmtId="0" fontId="0" fillId="0" borderId="1" xfId="0" applyBorder="1"/>
    <xf numFmtId="0" fontId="0" fillId="0" borderId="1" xfId="0" applyBorder="1" applyAlignment="1">
      <alignment horizontal="left" indent="1"/>
    </xf>
    <xf numFmtId="0" fontId="0" fillId="5" borderId="1" xfId="0" applyFill="1" applyBorder="1"/>
    <xf numFmtId="0" fontId="0" fillId="22" borderId="1" xfId="0" applyFill="1" applyBorder="1"/>
    <xf numFmtId="1" fontId="0" fillId="0" borderId="1" xfId="0" applyNumberFormat="1" applyBorder="1"/>
    <xf numFmtId="1" fontId="0" fillId="22" borderId="1" xfId="0" applyNumberFormat="1" applyFill="1" applyBorder="1"/>
    <xf numFmtId="3" fontId="25" fillId="0" borderId="0" xfId="0" applyNumberFormat="1" applyFont="1" applyAlignment="1">
      <alignment horizontal="right" vertical="center" wrapText="1"/>
    </xf>
    <xf numFmtId="0" fontId="25" fillId="0" borderId="0" xfId="0" applyFont="1" applyAlignment="1">
      <alignment vertical="center"/>
    </xf>
    <xf numFmtId="0" fontId="25" fillId="0" borderId="0" xfId="0" applyFont="1" applyAlignment="1">
      <alignment horizontal="right" vertical="center" wrapText="1"/>
    </xf>
    <xf numFmtId="0" fontId="9" fillId="0" borderId="36" xfId="7" applyAlignment="1">
      <alignment horizontal="justify" vertical="center" wrapText="1"/>
    </xf>
    <xf numFmtId="0" fontId="26" fillId="0" borderId="0" xfId="0" applyFont="1" applyAlignment="1">
      <alignment horizontal="left" vertical="center" wrapText="1" indent="2"/>
    </xf>
    <xf numFmtId="3" fontId="26" fillId="0" borderId="0" xfId="0" applyNumberFormat="1" applyFont="1" applyAlignment="1">
      <alignment horizontal="right" vertical="center" wrapText="1"/>
    </xf>
    <xf numFmtId="0" fontId="26" fillId="0" borderId="0" xfId="0" applyFont="1" applyAlignment="1">
      <alignment horizontal="right" vertical="center" wrapText="1"/>
    </xf>
    <xf numFmtId="9" fontId="9" fillId="0" borderId="1" xfId="6" applyFont="1" applyBorder="1"/>
    <xf numFmtId="10" fontId="9" fillId="0" borderId="1" xfId="6" applyNumberFormat="1" applyFont="1" applyBorder="1"/>
    <xf numFmtId="10" fontId="9" fillId="0" borderId="1" xfId="0" applyNumberFormat="1" applyFont="1" applyBorder="1"/>
    <xf numFmtId="170" fontId="9" fillId="0" borderId="1" xfId="6" applyNumberFormat="1" applyFont="1" applyBorder="1"/>
    <xf numFmtId="9" fontId="7" fillId="0" borderId="1" xfId="6" applyFont="1" applyBorder="1"/>
    <xf numFmtId="164" fontId="0" fillId="0" borderId="1" xfId="0" applyNumberFormat="1" applyBorder="1"/>
    <xf numFmtId="37" fontId="0" fillId="0" borderId="1" xfId="0" applyNumberFormat="1" applyBorder="1"/>
    <xf numFmtId="4" fontId="0" fillId="0" borderId="1" xfId="0" applyNumberFormat="1" applyBorder="1"/>
    <xf numFmtId="3" fontId="0" fillId="0" borderId="1" xfId="0" applyNumberFormat="1" applyBorder="1"/>
    <xf numFmtId="10" fontId="7" fillId="0" borderId="1" xfId="6" applyNumberFormat="1" applyFont="1" applyBorder="1"/>
    <xf numFmtId="10" fontId="0" fillId="22" borderId="1" xfId="0" applyNumberFormat="1" applyFill="1" applyBorder="1"/>
    <xf numFmtId="10" fontId="0" fillId="0" borderId="1" xfId="0" applyNumberFormat="1" applyBorder="1"/>
    <xf numFmtId="9" fontId="0" fillId="0" borderId="1" xfId="0" applyNumberFormat="1" applyBorder="1"/>
    <xf numFmtId="9" fontId="27" fillId="5" borderId="1" xfId="6" applyFont="1" applyFill="1" applyBorder="1"/>
    <xf numFmtId="164" fontId="9" fillId="22" borderId="1" xfId="0" applyNumberFormat="1" applyFont="1" applyFill="1" applyBorder="1"/>
    <xf numFmtId="9" fontId="9" fillId="22" borderId="1" xfId="6" applyFont="1" applyFill="1" applyBorder="1"/>
    <xf numFmtId="165" fontId="9" fillId="22" borderId="1" xfId="0" applyNumberFormat="1" applyFont="1" applyFill="1" applyBorder="1"/>
    <xf numFmtId="171" fontId="9" fillId="22" borderId="1" xfId="0" applyNumberFormat="1" applyFont="1" applyFill="1" applyBorder="1"/>
    <xf numFmtId="165" fontId="0" fillId="0" borderId="0" xfId="0" applyNumberFormat="1"/>
    <xf numFmtId="4" fontId="0" fillId="0" borderId="1" xfId="0" applyNumberFormat="1" applyBorder="1" applyAlignment="1">
      <alignment horizontal="right"/>
    </xf>
    <xf numFmtId="2" fontId="0" fillId="0" borderId="1" xfId="0" applyNumberFormat="1" applyBorder="1"/>
    <xf numFmtId="0" fontId="10" fillId="0" borderId="37" xfId="2"/>
    <xf numFmtId="0" fontId="8" fillId="23" borderId="1" xfId="3" applyFill="1" applyBorder="1"/>
    <xf numFmtId="0" fontId="0" fillId="23" borderId="1" xfId="0" applyFill="1" applyBorder="1"/>
    <xf numFmtId="169" fontId="0" fillId="0" borderId="0" xfId="0" applyNumberFormat="1"/>
    <xf numFmtId="0" fontId="0" fillId="24" borderId="0" xfId="0" applyFill="1"/>
    <xf numFmtId="10" fontId="0" fillId="25" borderId="0" xfId="0" applyNumberFormat="1" applyFill="1"/>
    <xf numFmtId="9" fontId="0" fillId="25" borderId="0" xfId="0" applyNumberFormat="1" applyFill="1"/>
    <xf numFmtId="169" fontId="0" fillId="25" borderId="0" xfId="0" applyNumberFormat="1" applyFill="1"/>
    <xf numFmtId="169" fontId="0" fillId="13" borderId="0" xfId="0" applyNumberFormat="1" applyFill="1"/>
    <xf numFmtId="2" fontId="0" fillId="13" borderId="0" xfId="0" applyNumberFormat="1" applyFill="1"/>
    <xf numFmtId="10" fontId="0" fillId="13" borderId="0" xfId="0" applyNumberFormat="1" applyFill="1"/>
    <xf numFmtId="0" fontId="11" fillId="10" borderId="0" xfId="0" applyFont="1" applyFill="1"/>
    <xf numFmtId="0" fontId="11" fillId="3" borderId="35" xfId="1" applyBorder="1"/>
    <xf numFmtId="0" fontId="28" fillId="0" borderId="35" xfId="3" applyFont="1"/>
    <xf numFmtId="0" fontId="0" fillId="26" borderId="32" xfId="0" applyFill="1" applyBorder="1"/>
    <xf numFmtId="0" fontId="0" fillId="26" borderId="0" xfId="0" applyFill="1"/>
    <xf numFmtId="0" fontId="0" fillId="26" borderId="20" xfId="0" applyFill="1" applyBorder="1"/>
    <xf numFmtId="0" fontId="0" fillId="26" borderId="33" xfId="0" applyFill="1" applyBorder="1"/>
    <xf numFmtId="0" fontId="0" fillId="26" borderId="23" xfId="0" applyFill="1" applyBorder="1"/>
    <xf numFmtId="0" fontId="0" fillId="26" borderId="27" xfId="0" applyFill="1" applyBorder="1"/>
    <xf numFmtId="0" fontId="0" fillId="5" borderId="31" xfId="0" applyFill="1" applyBorder="1"/>
    <xf numFmtId="0" fontId="0" fillId="5" borderId="16" xfId="0" applyFill="1" applyBorder="1"/>
    <xf numFmtId="0" fontId="0" fillId="5" borderId="34" xfId="0" applyFill="1" applyBorder="1"/>
    <xf numFmtId="0" fontId="0" fillId="5" borderId="32" xfId="0" applyFill="1" applyBorder="1"/>
    <xf numFmtId="0" fontId="0" fillId="5" borderId="20" xfId="0" applyFill="1" applyBorder="1"/>
    <xf numFmtId="0" fontId="0" fillId="5" borderId="33" xfId="0" applyFill="1" applyBorder="1"/>
    <xf numFmtId="0" fontId="0" fillId="5" borderId="23" xfId="0" applyFill="1" applyBorder="1"/>
    <xf numFmtId="0" fontId="0" fillId="5" borderId="27" xfId="0" applyFill="1" applyBorder="1"/>
    <xf numFmtId="0" fontId="8" fillId="5" borderId="35" xfId="3" applyFill="1" applyAlignment="1">
      <alignment horizontal="right"/>
    </xf>
    <xf numFmtId="0" fontId="7" fillId="0" borderId="36" xfId="7" applyFont="1" applyAlignment="1">
      <alignment horizontal="left" indent="2"/>
    </xf>
    <xf numFmtId="0" fontId="12" fillId="26" borderId="0" xfId="4" applyFill="1" applyBorder="1"/>
    <xf numFmtId="0" fontId="27" fillId="0" borderId="0" xfId="0" applyFont="1"/>
    <xf numFmtId="0" fontId="0" fillId="26" borderId="31" xfId="0" applyFill="1" applyBorder="1"/>
    <xf numFmtId="0" fontId="0" fillId="26" borderId="34" xfId="0" applyFill="1" applyBorder="1"/>
    <xf numFmtId="9" fontId="7" fillId="9" borderId="0" xfId="6" applyFont="1" applyFill="1"/>
    <xf numFmtId="0" fontId="0" fillId="0" borderId="44" xfId="0" applyBorder="1" applyAlignment="1">
      <alignment horizontal="left" indent="5"/>
    </xf>
    <xf numFmtId="0" fontId="0" fillId="13" borderId="1" xfId="0" applyFill="1" applyBorder="1"/>
    <xf numFmtId="0" fontId="9" fillId="0" borderId="45" xfId="7" applyBorder="1" applyAlignment="1">
      <alignment horizontal="left" indent="5"/>
    </xf>
    <xf numFmtId="0" fontId="9" fillId="0" borderId="45" xfId="7" applyBorder="1" applyAlignment="1">
      <alignment horizontal="left"/>
    </xf>
    <xf numFmtId="9" fontId="9" fillId="0" borderId="1" xfId="7" applyNumberFormat="1" applyBorder="1"/>
    <xf numFmtId="2" fontId="7" fillId="0" borderId="1" xfId="6" applyNumberFormat="1" applyFont="1" applyBorder="1"/>
    <xf numFmtId="0" fontId="7" fillId="0" borderId="36" xfId="7" applyFont="1"/>
    <xf numFmtId="1" fontId="7" fillId="0" borderId="36" xfId="7" applyNumberFormat="1" applyFont="1"/>
    <xf numFmtId="1" fontId="7" fillId="0" borderId="1" xfId="6" applyNumberFormat="1" applyFont="1" applyBorder="1"/>
    <xf numFmtId="0" fontId="0" fillId="11" borderId="0" xfId="0" applyFill="1"/>
    <xf numFmtId="0" fontId="0" fillId="27" borderId="31" xfId="0" applyFill="1" applyBorder="1"/>
    <xf numFmtId="0" fontId="0" fillId="27" borderId="16" xfId="0" applyFill="1" applyBorder="1"/>
    <xf numFmtId="0" fontId="0" fillId="27" borderId="34" xfId="0" applyFill="1" applyBorder="1"/>
    <xf numFmtId="0" fontId="0" fillId="27" borderId="32" xfId="0" applyFill="1" applyBorder="1"/>
    <xf numFmtId="0" fontId="0" fillId="27" borderId="0" xfId="0" applyFill="1"/>
    <xf numFmtId="0" fontId="0" fillId="27" borderId="20" xfId="0" applyFill="1" applyBorder="1"/>
    <xf numFmtId="0" fontId="0" fillId="27" borderId="33" xfId="0" applyFill="1" applyBorder="1"/>
    <xf numFmtId="0" fontId="0" fillId="27" borderId="23" xfId="0" applyFill="1" applyBorder="1"/>
    <xf numFmtId="0" fontId="0" fillId="27" borderId="27" xfId="0" applyFill="1" applyBorder="1"/>
    <xf numFmtId="0" fontId="6" fillId="27" borderId="16" xfId="0" applyFont="1" applyFill="1" applyBorder="1"/>
    <xf numFmtId="0" fontId="29" fillId="27" borderId="16" xfId="0" applyFont="1" applyFill="1" applyBorder="1"/>
    <xf numFmtId="0" fontId="29" fillId="26" borderId="31" xfId="0" applyFont="1" applyFill="1" applyBorder="1" applyAlignment="1">
      <alignment horizontal="center"/>
    </xf>
    <xf numFmtId="0" fontId="29" fillId="26" borderId="16" xfId="0" applyFont="1" applyFill="1" applyBorder="1" applyAlignment="1">
      <alignment horizontal="center"/>
    </xf>
    <xf numFmtId="0" fontId="29" fillId="26" borderId="34" xfId="0" applyFont="1" applyFill="1" applyBorder="1" applyAlignment="1">
      <alignment horizontal="center"/>
    </xf>
    <xf numFmtId="0" fontId="0" fillId="26" borderId="16" xfId="0" applyFill="1" applyBorder="1" applyAlignment="1">
      <alignment horizontal="center"/>
    </xf>
    <xf numFmtId="0" fontId="0" fillId="0" borderId="0" xfId="0" applyAlignment="1">
      <alignment horizontal="center"/>
    </xf>
    <xf numFmtId="0" fontId="30" fillId="0" borderId="0" xfId="0" applyFont="1" applyAlignment="1">
      <alignment horizontal="right" vertical="center" wrapText="1"/>
    </xf>
    <xf numFmtId="0" fontId="31" fillId="6" borderId="0" xfId="0" applyFont="1" applyFill="1" applyAlignment="1">
      <alignment horizontal="center" vertical="center"/>
    </xf>
    <xf numFmtId="0" fontId="31" fillId="6" borderId="41" xfId="0" applyFont="1" applyFill="1" applyBorder="1" applyAlignment="1">
      <alignment horizontal="center" vertical="center"/>
    </xf>
    <xf numFmtId="0" fontId="31" fillId="6" borderId="40" xfId="0" applyFont="1" applyFill="1" applyBorder="1" applyAlignment="1">
      <alignment horizontal="center" vertical="center"/>
    </xf>
    <xf numFmtId="0" fontId="0" fillId="0" borderId="23" xfId="0" applyBorder="1" applyAlignment="1">
      <alignment horizontal="center"/>
    </xf>
    <xf numFmtId="0" fontId="32" fillId="9" borderId="0" xfId="0" applyFont="1" applyFill="1" applyAlignment="1">
      <alignment horizontal="center"/>
    </xf>
  </cellXfs>
  <cellStyles count="8">
    <cellStyle name="Accent2" xfId="1" builtinId="33"/>
    <cellStyle name="Heading 2" xfId="2" builtinId="17"/>
    <cellStyle name="Heading 3" xfId="3" builtinId="18"/>
    <cellStyle name="Hyperlink" xfId="4" builtinId="8"/>
    <cellStyle name="Normal" xfId="0" builtinId="0"/>
    <cellStyle name="Note" xfId="5" builtinId="10"/>
    <cellStyle name="Percent" xfId="6" builtinId="5"/>
    <cellStyle name="Total" xfId="7" builtinId="2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Net Revenue by Segment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Graph!$B$4</c:f>
              <c:strCache>
                <c:ptCount val="1"/>
                <c:pt idx="0">
                  <c:v>Productivity and Business Processes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Graph!$C$3:$E$3</c:f>
              <c:numCache>
                <c:formatCode>0</c:formatCode>
                <c:ptCount val="3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</c:numCache>
            </c:numRef>
          </c:cat>
          <c:val>
            <c:numRef>
              <c:f>Graph!$C$4:$E$4</c:f>
              <c:numCache>
                <c:formatCode>#,##0</c:formatCode>
                <c:ptCount val="3"/>
                <c:pt idx="0">
                  <c:v>29870</c:v>
                </c:pt>
                <c:pt idx="1">
                  <c:v>35865</c:v>
                </c:pt>
                <c:pt idx="2">
                  <c:v>41160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B3-4DF3-8B65-C8FE5C114A53}"/>
            </c:ext>
          </c:extLst>
        </c:ser>
        <c:ser>
          <c:idx val="1"/>
          <c:order val="1"/>
          <c:tx>
            <c:strRef>
              <c:f>Graph!$B$5</c:f>
              <c:strCache>
                <c:ptCount val="1"/>
                <c:pt idx="0">
                  <c:v>Intelligent Cloud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Graph!$C$3:$E$3</c:f>
              <c:numCache>
                <c:formatCode>0</c:formatCode>
                <c:ptCount val="3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</c:numCache>
            </c:numRef>
          </c:cat>
          <c:val>
            <c:numRef>
              <c:f>Graph!$C$5:$E$5</c:f>
              <c:numCache>
                <c:formatCode>#,##0</c:formatCode>
                <c:ptCount val="3"/>
                <c:pt idx="0">
                  <c:v>27407</c:v>
                </c:pt>
                <c:pt idx="1">
                  <c:v>32219</c:v>
                </c:pt>
                <c:pt idx="2">
                  <c:v>38985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AB3-4DF3-8B65-C8FE5C114A53}"/>
            </c:ext>
          </c:extLst>
        </c:ser>
        <c:ser>
          <c:idx val="2"/>
          <c:order val="2"/>
          <c:tx>
            <c:strRef>
              <c:f>Graph!$B$6</c:f>
              <c:strCache>
                <c:ptCount val="1"/>
                <c:pt idx="0">
                  <c:v>More Personal Computing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Graph!$C$3:$E$3</c:f>
              <c:numCache>
                <c:formatCode>0</c:formatCode>
                <c:ptCount val="3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</c:numCache>
            </c:numRef>
          </c:cat>
          <c:val>
            <c:numRef>
              <c:f>Graph!$C$6:$E$6</c:f>
              <c:numCache>
                <c:formatCode>#,##0</c:formatCode>
                <c:ptCount val="3"/>
                <c:pt idx="0">
                  <c:v>39294</c:v>
                </c:pt>
                <c:pt idx="1">
                  <c:v>42276</c:v>
                </c:pt>
                <c:pt idx="2">
                  <c:v>45698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AB3-4DF3-8B65-C8FE5C114A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471744192"/>
        <c:axId val="1"/>
      </c:barChart>
      <c:catAx>
        <c:axId val="471744192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744192"/>
        <c:crossesAt val="1"/>
        <c:crossBetween val="between"/>
      </c:valAx>
      <c:spPr>
        <a:noFill/>
        <a:ln w="25400">
          <a:noFill/>
        </a:ln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Revenue &amp; %change 2017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Graph!$C$10</c:f>
              <c:strCache>
                <c:ptCount val="1"/>
                <c:pt idx="0">
                  <c:v>Revenue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Graph!$B$11:$B$13</c:f>
              <c:strCache>
                <c:ptCount val="3"/>
                <c:pt idx="0">
                  <c:v>Productivity and Business Processes</c:v>
                </c:pt>
                <c:pt idx="1">
                  <c:v>Intelligent Cloud</c:v>
                </c:pt>
                <c:pt idx="2">
                  <c:v>More Personal Computing</c:v>
                </c:pt>
              </c:strCache>
            </c:strRef>
          </c:cat>
          <c:val>
            <c:numRef>
              <c:f>Graph!$C$11:$C$13</c:f>
              <c:numCache>
                <c:formatCode>#,##0</c:formatCode>
                <c:ptCount val="3"/>
                <c:pt idx="0">
                  <c:v>29870</c:v>
                </c:pt>
                <c:pt idx="1">
                  <c:v>27407</c:v>
                </c:pt>
                <c:pt idx="2">
                  <c:v>39294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0BA-42F7-B628-22D0CAA7A1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70306144"/>
        <c:axId val="1"/>
      </c:barChart>
      <c:lineChart>
        <c:grouping val="standard"/>
        <c:varyColors val="0"/>
        <c:ser>
          <c:idx val="1"/>
          <c:order val="1"/>
          <c:tx>
            <c:strRef>
              <c:f>Graph!$D$10</c:f>
              <c:strCache>
                <c:ptCount val="1"/>
                <c:pt idx="0">
                  <c:v>% Change</c:v>
                </c:pt>
              </c:strCache>
            </c:strRef>
          </c:tx>
          <c:spPr>
            <a:ln w="34925" cap="rnd">
              <a:solidFill>
                <a:schemeClr val="accent5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Graph!$B$11:$B$13</c:f>
              <c:strCache>
                <c:ptCount val="3"/>
                <c:pt idx="0">
                  <c:v>Productivity and Business Processes</c:v>
                </c:pt>
                <c:pt idx="1">
                  <c:v>Intelligent Cloud</c:v>
                </c:pt>
                <c:pt idx="2">
                  <c:v>More Personal Computing</c:v>
                </c:pt>
              </c:strCache>
            </c:strRef>
          </c:cat>
          <c:val>
            <c:numRef>
              <c:f>Graph!$D$11:$D$13</c:f>
              <c:numCache>
                <c:formatCode>0.00%</c:formatCode>
                <c:ptCount val="3"/>
                <c:pt idx="0">
                  <c:v>0.30930610638804612</c:v>
                </c:pt>
                <c:pt idx="1">
                  <c:v>0.28380155533234613</c:v>
                </c:pt>
                <c:pt idx="2">
                  <c:v>0.40689233827960775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0BA-42F7-B628-22D0CAA7A1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"/>
        <c:axId val="4"/>
      </c:lineChart>
      <c:catAx>
        <c:axId val="4703061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306144"/>
        <c:crosses val="autoZero"/>
        <c:crossBetween val="between"/>
      </c:valAx>
      <c:catAx>
        <c:axId val="3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"/>
        <c:crosses val="autoZero"/>
        <c:auto val="1"/>
        <c:lblAlgn val="ctr"/>
        <c:lblOffset val="100"/>
        <c:noMultiLvlLbl val="0"/>
      </c:catAx>
      <c:valAx>
        <c:axId val="4"/>
        <c:scaling>
          <c:orientation val="minMax"/>
        </c:scaling>
        <c:delete val="0"/>
        <c:axPos val="r"/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"/>
        <c:crosses val="max"/>
        <c:crossBetween val="between"/>
      </c:valAx>
      <c:spPr>
        <a:noFill/>
        <a:ln w="25400">
          <a:noFill/>
        </a:ln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Graph!$B$18</c:f>
          <c:strCache>
            <c:ptCount val="1"/>
            <c:pt idx="0">
              <c:v>Gross Profit Margin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Graph!$B$17</c:f>
              <c:strCache>
                <c:ptCount val="1"/>
                <c:pt idx="0">
                  <c:v>Gross Profit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Graph!$C$16:$I$16</c:f>
              <c:strCache>
                <c:ptCount val="7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 E</c:v>
                </c:pt>
                <c:pt idx="5">
                  <c:v>2022 E</c:v>
                </c:pt>
                <c:pt idx="6">
                  <c:v>2023 E</c:v>
                </c:pt>
              </c:strCache>
            </c:strRef>
          </c:cat>
          <c:val>
            <c:numRef>
              <c:f>Graph!$C$17:$I$17</c:f>
              <c:numCache>
                <c:formatCode>0</c:formatCode>
                <c:ptCount val="7"/>
                <c:pt idx="0">
                  <c:v>62310</c:v>
                </c:pt>
                <c:pt idx="1">
                  <c:v>72007</c:v>
                </c:pt>
                <c:pt idx="2">
                  <c:v>82933</c:v>
                </c:pt>
                <c:pt idx="3">
                  <c:v>96937</c:v>
                </c:pt>
                <c:pt idx="4">
                  <c:v>105260.31855753568</c:v>
                </c:pt>
                <c:pt idx="5">
                  <c:v>114298.30366974314</c:v>
                </c:pt>
                <c:pt idx="6">
                  <c:v>124112.31887579677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C75-4C5F-A919-51D8E5E0A2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78124768"/>
        <c:axId val="1"/>
      </c:barChart>
      <c:lineChart>
        <c:grouping val="standard"/>
        <c:varyColors val="0"/>
        <c:ser>
          <c:idx val="1"/>
          <c:order val="1"/>
          <c:tx>
            <c:strRef>
              <c:f>Graph!$B$18</c:f>
              <c:strCache>
                <c:ptCount val="1"/>
                <c:pt idx="0">
                  <c:v>Gross Profit Margin</c:v>
                </c:pt>
              </c:strCache>
            </c:strRef>
          </c:tx>
          <c:spPr>
            <a:ln w="34925" cap="rnd">
              <a:solidFill>
                <a:schemeClr val="accent4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Graph!$C$16:$I$16</c:f>
              <c:strCache>
                <c:ptCount val="7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 E</c:v>
                </c:pt>
                <c:pt idx="5">
                  <c:v>2022 E</c:v>
                </c:pt>
                <c:pt idx="6">
                  <c:v>2023 E</c:v>
                </c:pt>
              </c:strCache>
            </c:strRef>
          </c:cat>
          <c:val>
            <c:numRef>
              <c:f>Graph!$C$18:$I$18</c:f>
              <c:numCache>
                <c:formatCode>0.00%</c:formatCode>
                <c:ptCount val="7"/>
                <c:pt idx="0">
                  <c:v>0.64522475691460168</c:v>
                </c:pt>
                <c:pt idx="1">
                  <c:v>0.65247372236317502</c:v>
                </c:pt>
                <c:pt idx="2">
                  <c:v>0.65901957200638894</c:v>
                </c:pt>
                <c:pt idx="3">
                  <c:v>0.67781001992797962</c:v>
                </c:pt>
                <c:pt idx="4">
                  <c:v>0.67781001992797962</c:v>
                </c:pt>
                <c:pt idx="5">
                  <c:v>0.67781001992797962</c:v>
                </c:pt>
                <c:pt idx="6">
                  <c:v>0.67781001992797951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C75-4C5F-A919-51D8E5E0A2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"/>
        <c:axId val="4"/>
      </c:lineChart>
      <c:catAx>
        <c:axId val="4781247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124768"/>
        <c:crosses val="autoZero"/>
        <c:crossBetween val="between"/>
      </c:valAx>
      <c:catAx>
        <c:axId val="3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"/>
        <c:crosses val="autoZero"/>
        <c:auto val="1"/>
        <c:lblAlgn val="ctr"/>
        <c:lblOffset val="100"/>
        <c:noMultiLvlLbl val="0"/>
      </c:catAx>
      <c:valAx>
        <c:axId val="4"/>
        <c:scaling>
          <c:orientation val="minMax"/>
        </c:scaling>
        <c:delete val="0"/>
        <c:axPos val="r"/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"/>
        <c:crosses val="max"/>
        <c:crossBetween val="between"/>
      </c:valAx>
      <c:spPr>
        <a:noFill/>
        <a:ln w="25400">
          <a:noFill/>
        </a:ln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strRef>
          <c:f>Graph!$B$23</c:f>
          <c:strCache>
            <c:ptCount val="1"/>
            <c:pt idx="0">
              <c:v>Operating Profit Margin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Graph!$B$22</c:f>
              <c:strCache>
                <c:ptCount val="1"/>
                <c:pt idx="0">
                  <c:v>Operating Profit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Graph!$C$21:$I$21</c:f>
              <c:strCache>
                <c:ptCount val="7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 E</c:v>
                </c:pt>
                <c:pt idx="5">
                  <c:v>2022 E</c:v>
                </c:pt>
                <c:pt idx="6">
                  <c:v>2023 E</c:v>
                </c:pt>
              </c:strCache>
            </c:strRef>
          </c:cat>
          <c:val>
            <c:numRef>
              <c:f>Graph!$C$22:$I$22</c:f>
              <c:numCache>
                <c:formatCode>General</c:formatCode>
                <c:ptCount val="7"/>
                <c:pt idx="0">
                  <c:v>29025</c:v>
                </c:pt>
                <c:pt idx="1">
                  <c:v>35058</c:v>
                </c:pt>
                <c:pt idx="2">
                  <c:v>42959</c:v>
                </c:pt>
                <c:pt idx="3">
                  <c:v>52959</c:v>
                </c:pt>
                <c:pt idx="4">
                  <c:v>57506.227864371001</c:v>
                </c:pt>
                <c:pt idx="5">
                  <c:v>62443.895148869131</c:v>
                </c:pt>
                <c:pt idx="6">
                  <c:v>67805.526221600841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B7-47FF-8FCA-829AF6F8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78132256"/>
        <c:axId val="1"/>
      </c:barChart>
      <c:lineChart>
        <c:grouping val="standard"/>
        <c:varyColors val="0"/>
        <c:ser>
          <c:idx val="1"/>
          <c:order val="1"/>
          <c:tx>
            <c:strRef>
              <c:f>Graph!$B$23</c:f>
              <c:strCache>
                <c:ptCount val="1"/>
                <c:pt idx="0">
                  <c:v>Operating Profit Margin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Graph!$C$21:$I$21</c:f>
              <c:strCache>
                <c:ptCount val="7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 E</c:v>
                </c:pt>
                <c:pt idx="5">
                  <c:v>2022 E</c:v>
                </c:pt>
                <c:pt idx="6">
                  <c:v>2023 E</c:v>
                </c:pt>
              </c:strCache>
            </c:strRef>
          </c:cat>
          <c:val>
            <c:numRef>
              <c:f>Graph!$C$23:$I$23</c:f>
              <c:numCache>
                <c:formatCode>0.00%</c:formatCode>
                <c:ptCount val="7"/>
                <c:pt idx="0">
                  <c:v>0.30055606755651282</c:v>
                </c:pt>
                <c:pt idx="1">
                  <c:v>0.31766944545125048</c:v>
                </c:pt>
                <c:pt idx="2">
                  <c:v>0.3413698020549415</c:v>
                </c:pt>
                <c:pt idx="3">
                  <c:v>0.37030381428521486</c:v>
                </c:pt>
                <c:pt idx="4">
                  <c:v>0.37030381428521481</c:v>
                </c:pt>
                <c:pt idx="5">
                  <c:v>0.37030381428521486</c:v>
                </c:pt>
                <c:pt idx="6">
                  <c:v>0.37030381428521481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2B7-47FF-8FCA-829AF6F8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"/>
        <c:axId val="4"/>
      </c:lineChart>
      <c:catAx>
        <c:axId val="4781322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132256"/>
        <c:crosses val="autoZero"/>
        <c:crossBetween val="between"/>
      </c:valAx>
      <c:catAx>
        <c:axId val="3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"/>
        <c:crosses val="autoZero"/>
        <c:auto val="1"/>
        <c:lblAlgn val="ctr"/>
        <c:lblOffset val="100"/>
        <c:noMultiLvlLbl val="0"/>
      </c:catAx>
      <c:valAx>
        <c:axId val="4"/>
        <c:scaling>
          <c:orientation val="minMax"/>
        </c:scaling>
        <c:delete val="0"/>
        <c:axPos val="r"/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"/>
        <c:crosses val="max"/>
        <c:crossBetween val="between"/>
      </c:valAx>
      <c:spPr>
        <a:noFill/>
        <a:ln w="25400">
          <a:noFill/>
        </a:ln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Graph!$B$27</c:f>
          <c:strCache>
            <c:ptCount val="1"/>
            <c:pt idx="0">
              <c:v>Net Profit Margin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Graph!$B$26</c:f>
              <c:strCache>
                <c:ptCount val="1"/>
                <c:pt idx="0">
                  <c:v>Net Profit</c:v>
                </c:pt>
              </c:strCache>
            </c:strRef>
          </c:tx>
          <c:spPr>
            <a:solidFill>
              <a:srgbClr val="99CC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Graph!$C$25:$I$25</c:f>
              <c:strCache>
                <c:ptCount val="7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 E</c:v>
                </c:pt>
                <c:pt idx="5">
                  <c:v>2022 E</c:v>
                </c:pt>
                <c:pt idx="6">
                  <c:v>2023 E</c:v>
                </c:pt>
              </c:strCache>
            </c:strRef>
          </c:cat>
          <c:val>
            <c:numRef>
              <c:f>Graph!$C$26:$I$26</c:f>
              <c:numCache>
                <c:formatCode>0</c:formatCode>
                <c:ptCount val="7"/>
                <c:pt idx="0">
                  <c:v>25489</c:v>
                </c:pt>
                <c:pt idx="1">
                  <c:v>16571</c:v>
                </c:pt>
                <c:pt idx="2">
                  <c:v>39240</c:v>
                </c:pt>
                <c:pt idx="3">
                  <c:v>44281</c:v>
                </c:pt>
                <c:pt idx="4">
                  <c:v>45495.973069764848</c:v>
                </c:pt>
                <c:pt idx="5">
                  <c:v>49402.40174967776</c:v>
                </c:pt>
                <c:pt idx="6">
                  <c:v>53644.24879745028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33-46C2-B9D0-4A4568A9E5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78118112"/>
        <c:axId val="1"/>
      </c:barChart>
      <c:lineChart>
        <c:grouping val="standard"/>
        <c:varyColors val="0"/>
        <c:ser>
          <c:idx val="1"/>
          <c:order val="1"/>
          <c:tx>
            <c:strRef>
              <c:f>Graph!$B$27</c:f>
              <c:strCache>
                <c:ptCount val="1"/>
                <c:pt idx="0">
                  <c:v>Net Profit Margin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Graph!$C$25:$I$25</c:f>
              <c:strCache>
                <c:ptCount val="7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 E</c:v>
                </c:pt>
                <c:pt idx="5">
                  <c:v>2022 E</c:v>
                </c:pt>
                <c:pt idx="6">
                  <c:v>2023 E</c:v>
                </c:pt>
              </c:strCache>
            </c:strRef>
          </c:cat>
          <c:val>
            <c:numRef>
              <c:f>Graph!$C$27:$I$27</c:f>
              <c:numCache>
                <c:formatCode>0.00%</c:formatCode>
                <c:ptCount val="7"/>
                <c:pt idx="0">
                  <c:v>0.26394052044609667</c:v>
                </c:pt>
                <c:pt idx="1">
                  <c:v>0.15015404131931859</c:v>
                </c:pt>
                <c:pt idx="2">
                  <c:v>0.31181710544090652</c:v>
                </c:pt>
                <c:pt idx="3">
                  <c:v>0.30962486452470023</c:v>
                </c:pt>
                <c:pt idx="4">
                  <c:v>0.29296535328462048</c:v>
                </c:pt>
                <c:pt idx="5">
                  <c:v>0.29296535328462053</c:v>
                </c:pt>
                <c:pt idx="6">
                  <c:v>0.29296535328462042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E33-46C2-B9D0-4A4568A9E5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"/>
        <c:axId val="4"/>
      </c:lineChart>
      <c:catAx>
        <c:axId val="478118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118112"/>
        <c:crosses val="autoZero"/>
        <c:crossBetween val="between"/>
      </c:valAx>
      <c:catAx>
        <c:axId val="3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"/>
        <c:crosses val="autoZero"/>
        <c:auto val="1"/>
        <c:lblAlgn val="ctr"/>
        <c:lblOffset val="100"/>
        <c:noMultiLvlLbl val="0"/>
      </c:catAx>
      <c:valAx>
        <c:axId val="4"/>
        <c:scaling>
          <c:orientation val="minMax"/>
        </c:scaling>
        <c:delete val="0"/>
        <c:axPos val="r"/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"/>
        <c:crosses val="max"/>
        <c:crossBetween val="between"/>
      </c:valAx>
      <c:spPr>
        <a:noFill/>
        <a:ln w="25400">
          <a:noFill/>
        </a:ln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Graph!$B$2</c:f>
          <c:strCache>
            <c:ptCount val="1"/>
            <c:pt idx="0">
              <c:v>Net Revenue by Segment: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Graph!$B$4</c:f>
              <c:strCache>
                <c:ptCount val="1"/>
                <c:pt idx="0">
                  <c:v>Productivity and Business Processes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Graph!$C$3:$E$3</c:f>
              <c:numCache>
                <c:formatCode>0</c:formatCode>
                <c:ptCount val="3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</c:numCache>
            </c:numRef>
          </c:cat>
          <c:val>
            <c:numRef>
              <c:f>Graph!$C$4:$E$4</c:f>
              <c:numCache>
                <c:formatCode>#,##0</c:formatCode>
                <c:ptCount val="3"/>
                <c:pt idx="0">
                  <c:v>29870</c:v>
                </c:pt>
                <c:pt idx="1">
                  <c:v>35865</c:v>
                </c:pt>
                <c:pt idx="2">
                  <c:v>41160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D9-4D8E-A599-7A5853853281}"/>
            </c:ext>
          </c:extLst>
        </c:ser>
        <c:ser>
          <c:idx val="1"/>
          <c:order val="1"/>
          <c:tx>
            <c:strRef>
              <c:f>Graph!$B$5</c:f>
              <c:strCache>
                <c:ptCount val="1"/>
                <c:pt idx="0">
                  <c:v>Intelligent Cloud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Graph!$C$3:$E$3</c:f>
              <c:numCache>
                <c:formatCode>0</c:formatCode>
                <c:ptCount val="3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</c:numCache>
            </c:numRef>
          </c:cat>
          <c:val>
            <c:numRef>
              <c:f>Graph!$C$5:$E$5</c:f>
              <c:numCache>
                <c:formatCode>#,##0</c:formatCode>
                <c:ptCount val="3"/>
                <c:pt idx="0">
                  <c:v>27407</c:v>
                </c:pt>
                <c:pt idx="1">
                  <c:v>32219</c:v>
                </c:pt>
                <c:pt idx="2">
                  <c:v>38985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AD9-4D8E-A599-7A5853853281}"/>
            </c:ext>
          </c:extLst>
        </c:ser>
        <c:ser>
          <c:idx val="2"/>
          <c:order val="2"/>
          <c:tx>
            <c:strRef>
              <c:f>Graph!$B$6</c:f>
              <c:strCache>
                <c:ptCount val="1"/>
                <c:pt idx="0">
                  <c:v>More Personal Computing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Graph!$C$3:$E$3</c:f>
              <c:numCache>
                <c:formatCode>0</c:formatCode>
                <c:ptCount val="3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</c:numCache>
            </c:numRef>
          </c:cat>
          <c:val>
            <c:numRef>
              <c:f>Graph!$C$6:$E$6</c:f>
              <c:numCache>
                <c:formatCode>#,##0</c:formatCode>
                <c:ptCount val="3"/>
                <c:pt idx="0">
                  <c:v>39294</c:v>
                </c:pt>
                <c:pt idx="1">
                  <c:v>42276</c:v>
                </c:pt>
                <c:pt idx="2">
                  <c:v>45698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AD9-4D8E-A599-7A58538532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478121856"/>
        <c:axId val="1"/>
      </c:barChart>
      <c:catAx>
        <c:axId val="478121856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121856"/>
        <c:crossesAt val="1"/>
        <c:crossBetween val="between"/>
      </c:valAx>
      <c:spPr>
        <a:noFill/>
        <a:ln w="25400">
          <a:noFill/>
        </a:ln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accent2">
        <a:lumMod val="40000"/>
        <a:lumOff val="60000"/>
      </a:schemeClr>
    </a:solidFill>
    <a:ln w="9525" cap="rnd" cmpd="sng" algn="ctr">
      <a:solidFill>
        <a:schemeClr val="tx1">
          <a:lumMod val="15000"/>
          <a:lumOff val="85000"/>
        </a:schemeClr>
      </a:solidFill>
      <a:beve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2350003072358433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'Sales Projection'!$B$22</c:f>
              <c:strCache>
                <c:ptCount val="1"/>
                <c:pt idx="0">
                  <c:v>Revenue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3.2779079872541098E-2"/>
                  <c:y val="-0.2164650772820064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'Sales Projection'!$C$21:$M$21</c:f>
              <c:numCache>
                <c:formatCode>General</c:formatCode>
                <c:ptCount val="11"/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</c:numCache>
            </c:numRef>
          </c:xVal>
          <c:yVal>
            <c:numRef>
              <c:f>'Sales Projection'!$C$22:$M$22</c:f>
              <c:numCache>
                <c:formatCode>General</c:formatCode>
                <c:ptCount val="11"/>
                <c:pt idx="1">
                  <c:v>69943</c:v>
                </c:pt>
                <c:pt idx="2">
                  <c:v>73723</c:v>
                </c:pt>
                <c:pt idx="3">
                  <c:v>77849</c:v>
                </c:pt>
                <c:pt idx="4">
                  <c:v>86833</c:v>
                </c:pt>
                <c:pt idx="5">
                  <c:v>93580</c:v>
                </c:pt>
                <c:pt idx="6" formatCode="0">
                  <c:v>85320</c:v>
                </c:pt>
                <c:pt idx="7">
                  <c:v>89950</c:v>
                </c:pt>
                <c:pt idx="8">
                  <c:v>110360</c:v>
                </c:pt>
                <c:pt idx="9">
                  <c:v>125843</c:v>
                </c:pt>
                <c:pt idx="10">
                  <c:v>143015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40B-4A2C-9F9A-C326CFA029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8128096"/>
        <c:axId val="1"/>
      </c:scatterChart>
      <c:valAx>
        <c:axId val="4781280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128096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Ratios!A7"/><Relationship Id="rId3" Type="http://schemas.openxmlformats.org/officeDocument/2006/relationships/hyperlink" Target="#RV_Price!A1"/><Relationship Id="rId7" Type="http://schemas.openxmlformats.org/officeDocument/2006/relationships/hyperlink" Target="#Ratios!A3"/><Relationship Id="rId12" Type="http://schemas.openxmlformats.org/officeDocument/2006/relationships/hyperlink" Target="#Ratios!A40"/><Relationship Id="rId2" Type="http://schemas.openxmlformats.org/officeDocument/2006/relationships/hyperlink" Target="#CFS!A1"/><Relationship Id="rId1" Type="http://schemas.openxmlformats.org/officeDocument/2006/relationships/hyperlink" Target="#BS!A1"/><Relationship Id="rId6" Type="http://schemas.openxmlformats.org/officeDocument/2006/relationships/hyperlink" Target="#Ratios!A14"/><Relationship Id="rId11" Type="http://schemas.openxmlformats.org/officeDocument/2006/relationships/hyperlink" Target="#IS!A1"/><Relationship Id="rId5" Type="http://schemas.openxmlformats.org/officeDocument/2006/relationships/hyperlink" Target="#DCF!A1"/><Relationship Id="rId10" Type="http://schemas.openxmlformats.org/officeDocument/2006/relationships/hyperlink" Target="#Ratios!A29"/><Relationship Id="rId4" Type="http://schemas.openxmlformats.org/officeDocument/2006/relationships/hyperlink" Target="#RV_EV!A1"/><Relationship Id="rId9" Type="http://schemas.openxmlformats.org/officeDocument/2006/relationships/hyperlink" Target="#Ratios!A19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'Flip sheet'!E6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'Flip sheet'!E6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'Flip sheet'!E6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'Flip sheet'!E6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'Flip sheet'!E6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'Flip sheet'!E6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'Flip sheet'!E6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371475</xdr:colOff>
      <xdr:row>8</xdr:row>
      <xdr:rowOff>104775</xdr:rowOff>
    </xdr:from>
    <xdr:to>
      <xdr:col>5</xdr:col>
      <xdr:colOff>314325</xdr:colOff>
      <xdr:row>11</xdr:row>
      <xdr:rowOff>95250</xdr:rowOff>
    </xdr:to>
    <xdr:sp macro="" textlink="">
      <xdr:nvSpPr>
        <xdr:cNvPr id="2" name="Rounded 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2444E04-87C1-1BD3-4B81-DCB3E28C22E2}"/>
            </a:ext>
          </a:extLst>
        </xdr:cNvPr>
        <xdr:cNvSpPr/>
      </xdr:nvSpPr>
      <xdr:spPr>
        <a:xfrm>
          <a:off x="1590675" y="1628775"/>
          <a:ext cx="1771650" cy="561975"/>
        </a:xfrm>
        <a:prstGeom prst="roundRect">
          <a:avLst/>
        </a:prstGeom>
        <a:solidFill>
          <a:srgbClr val="9999FF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/>
              </a:solidFill>
            </a:rPr>
            <a:t>Balance</a:t>
          </a:r>
          <a:r>
            <a:rPr lang="en-US" sz="2000">
              <a:solidFill>
                <a:schemeClr val="tx1"/>
              </a:solidFill>
            </a:rPr>
            <a:t> </a:t>
          </a:r>
          <a:r>
            <a:rPr lang="en-US" sz="1600">
              <a:solidFill>
                <a:schemeClr val="tx1"/>
              </a:solidFill>
            </a:rPr>
            <a:t>Sheet</a:t>
          </a:r>
        </a:p>
      </xdr:txBody>
    </xdr:sp>
    <xdr:clientData/>
  </xdr:twoCellAnchor>
  <xdr:twoCellAnchor>
    <xdr:from>
      <xdr:col>2</xdr:col>
      <xdr:colOff>361950</xdr:colOff>
      <xdr:row>12</xdr:row>
      <xdr:rowOff>28575</xdr:rowOff>
    </xdr:from>
    <xdr:to>
      <xdr:col>5</xdr:col>
      <xdr:colOff>304800</xdr:colOff>
      <xdr:row>15</xdr:row>
      <xdr:rowOff>19050</xdr:rowOff>
    </xdr:to>
    <xdr:sp macro="" textlink="">
      <xdr:nvSpPr>
        <xdr:cNvPr id="3" name="Rounded Rectangl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7B620AFB-D5B1-F6B8-9860-E0F9EAD410F5}"/>
            </a:ext>
          </a:extLst>
        </xdr:cNvPr>
        <xdr:cNvSpPr/>
      </xdr:nvSpPr>
      <xdr:spPr>
        <a:xfrm>
          <a:off x="1581150" y="2314575"/>
          <a:ext cx="1771650" cy="561975"/>
        </a:xfrm>
        <a:prstGeom prst="roundRect">
          <a:avLst/>
        </a:prstGeom>
        <a:solidFill>
          <a:srgbClr val="9999FF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/>
              </a:solidFill>
            </a:rPr>
            <a:t>CFS</a:t>
          </a:r>
        </a:p>
      </xdr:txBody>
    </xdr:sp>
    <xdr:clientData/>
  </xdr:twoCellAnchor>
  <xdr:twoCellAnchor>
    <xdr:from>
      <xdr:col>7</xdr:col>
      <xdr:colOff>381000</xdr:colOff>
      <xdr:row>4</xdr:row>
      <xdr:rowOff>133350</xdr:rowOff>
    </xdr:from>
    <xdr:to>
      <xdr:col>10</xdr:col>
      <xdr:colOff>323850</xdr:colOff>
      <xdr:row>7</xdr:row>
      <xdr:rowOff>123825</xdr:rowOff>
    </xdr:to>
    <xdr:sp macro="" textlink="">
      <xdr:nvSpPr>
        <xdr:cNvPr id="5" name="Rounded Rectangle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39CA3F3D-F28C-3D9B-AB42-3DA5B0DC46CE}"/>
            </a:ext>
          </a:extLst>
        </xdr:cNvPr>
        <xdr:cNvSpPr/>
      </xdr:nvSpPr>
      <xdr:spPr>
        <a:xfrm>
          <a:off x="4648200" y="990600"/>
          <a:ext cx="1771650" cy="561975"/>
        </a:xfrm>
        <a:prstGeom prst="roundRect">
          <a:avLst/>
        </a:prstGeom>
        <a:solidFill>
          <a:srgbClr val="9999FF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0">
              <a:solidFill>
                <a:sysClr val="windowText" lastClr="000000"/>
              </a:solidFill>
            </a:rPr>
            <a:t>Relative</a:t>
          </a:r>
          <a:r>
            <a:rPr lang="en-US" sz="1400" b="1">
              <a:solidFill>
                <a:sysClr val="windowText" lastClr="000000"/>
              </a:solidFill>
            </a:rPr>
            <a:t> </a:t>
          </a:r>
          <a:r>
            <a:rPr lang="en-US" sz="1400" b="0">
              <a:solidFill>
                <a:sysClr val="windowText" lastClr="000000"/>
              </a:solidFill>
            </a:rPr>
            <a:t>Valuation</a:t>
          </a:r>
        </a:p>
      </xdr:txBody>
    </xdr:sp>
    <xdr:clientData/>
  </xdr:twoCellAnchor>
  <xdr:twoCellAnchor>
    <xdr:from>
      <xdr:col>7</xdr:col>
      <xdr:colOff>390525</xdr:colOff>
      <xdr:row>8</xdr:row>
      <xdr:rowOff>47625</xdr:rowOff>
    </xdr:from>
    <xdr:to>
      <xdr:col>10</xdr:col>
      <xdr:colOff>333375</xdr:colOff>
      <xdr:row>11</xdr:row>
      <xdr:rowOff>38100</xdr:rowOff>
    </xdr:to>
    <xdr:sp macro="" textlink="">
      <xdr:nvSpPr>
        <xdr:cNvPr id="6" name="Rounded Rectangle 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A287C444-798C-D74C-842C-395347782775}"/>
            </a:ext>
          </a:extLst>
        </xdr:cNvPr>
        <xdr:cNvSpPr/>
      </xdr:nvSpPr>
      <xdr:spPr>
        <a:xfrm>
          <a:off x="4657725" y="1666875"/>
          <a:ext cx="1771650" cy="561975"/>
        </a:xfrm>
        <a:prstGeom prst="roundRect">
          <a:avLst/>
        </a:prstGeom>
        <a:solidFill>
          <a:srgbClr val="9999FF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</a:rPr>
            <a:t>RV-EV</a:t>
          </a:r>
        </a:p>
      </xdr:txBody>
    </xdr:sp>
    <xdr:clientData/>
  </xdr:twoCellAnchor>
  <xdr:twoCellAnchor>
    <xdr:from>
      <xdr:col>7</xdr:col>
      <xdr:colOff>419100</xdr:colOff>
      <xdr:row>11</xdr:row>
      <xdr:rowOff>161925</xdr:rowOff>
    </xdr:from>
    <xdr:to>
      <xdr:col>10</xdr:col>
      <xdr:colOff>361950</xdr:colOff>
      <xdr:row>14</xdr:row>
      <xdr:rowOff>152400</xdr:rowOff>
    </xdr:to>
    <xdr:sp macro="" textlink="">
      <xdr:nvSpPr>
        <xdr:cNvPr id="7" name="Rounded Rectangle 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AA3972BC-DD53-A264-9D89-711B3267CB25}"/>
            </a:ext>
          </a:extLst>
        </xdr:cNvPr>
        <xdr:cNvSpPr/>
      </xdr:nvSpPr>
      <xdr:spPr>
        <a:xfrm>
          <a:off x="4686300" y="2352675"/>
          <a:ext cx="1771650" cy="561975"/>
        </a:xfrm>
        <a:prstGeom prst="roundRect">
          <a:avLst/>
        </a:prstGeom>
        <a:solidFill>
          <a:srgbClr val="9999FF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</a:rPr>
            <a:t>DCF</a:t>
          </a:r>
        </a:p>
      </xdr:txBody>
    </xdr:sp>
    <xdr:clientData/>
  </xdr:twoCellAnchor>
  <xdr:twoCellAnchor>
    <xdr:from>
      <xdr:col>12</xdr:col>
      <xdr:colOff>209550</xdr:colOff>
      <xdr:row>11</xdr:row>
      <xdr:rowOff>57150</xdr:rowOff>
    </xdr:from>
    <xdr:to>
      <xdr:col>15</xdr:col>
      <xdr:colOff>152400</xdr:colOff>
      <xdr:row>14</xdr:row>
      <xdr:rowOff>57150</xdr:rowOff>
    </xdr:to>
    <xdr:sp macro="" textlink="">
      <xdr:nvSpPr>
        <xdr:cNvPr id="8" name="Rounded Rectangle 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30D57E0D-9505-F065-5FD0-4C69B89B7E5E}"/>
            </a:ext>
          </a:extLst>
        </xdr:cNvPr>
        <xdr:cNvSpPr/>
      </xdr:nvSpPr>
      <xdr:spPr>
        <a:xfrm>
          <a:off x="7524750" y="2247900"/>
          <a:ext cx="1771650" cy="571500"/>
        </a:xfrm>
        <a:prstGeom prst="roundRect">
          <a:avLst/>
        </a:prstGeom>
        <a:solidFill>
          <a:srgbClr val="9999FF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ysClr val="windowText" lastClr="000000"/>
              </a:solidFill>
            </a:rPr>
            <a:t>Credit Ratios</a:t>
          </a:r>
        </a:p>
      </xdr:txBody>
    </xdr:sp>
    <xdr:clientData/>
  </xdr:twoCellAnchor>
  <xdr:twoCellAnchor>
    <xdr:from>
      <xdr:col>12</xdr:col>
      <xdr:colOff>200025</xdr:colOff>
      <xdr:row>4</xdr:row>
      <xdr:rowOff>76200</xdr:rowOff>
    </xdr:from>
    <xdr:to>
      <xdr:col>15</xdr:col>
      <xdr:colOff>142875</xdr:colOff>
      <xdr:row>7</xdr:row>
      <xdr:rowOff>66675</xdr:rowOff>
    </xdr:to>
    <xdr:sp macro="" textlink="">
      <xdr:nvSpPr>
        <xdr:cNvPr id="9" name="Rounded Rectangle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623AE574-E8DE-33DA-94A5-ADD670EFA3DD}"/>
            </a:ext>
          </a:extLst>
        </xdr:cNvPr>
        <xdr:cNvSpPr/>
      </xdr:nvSpPr>
      <xdr:spPr>
        <a:xfrm>
          <a:off x="7515225" y="933450"/>
          <a:ext cx="1771650" cy="561975"/>
        </a:xfrm>
        <a:prstGeom prst="roundRect">
          <a:avLst/>
        </a:prstGeom>
        <a:solidFill>
          <a:srgbClr val="9999FF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</a:rPr>
            <a:t>Liquidity Ratios</a:t>
          </a:r>
        </a:p>
      </xdr:txBody>
    </xdr:sp>
    <xdr:clientData/>
  </xdr:twoCellAnchor>
  <xdr:twoCellAnchor>
    <xdr:from>
      <xdr:col>12</xdr:col>
      <xdr:colOff>200025</xdr:colOff>
      <xdr:row>7</xdr:row>
      <xdr:rowOff>152400</xdr:rowOff>
    </xdr:from>
    <xdr:to>
      <xdr:col>15</xdr:col>
      <xdr:colOff>142875</xdr:colOff>
      <xdr:row>10</xdr:row>
      <xdr:rowOff>142875</xdr:rowOff>
    </xdr:to>
    <xdr:sp macro="" textlink="">
      <xdr:nvSpPr>
        <xdr:cNvPr id="10" name="Rounded Rectangle 9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ED664D6F-26D6-41A4-F9C3-64B4E5A6F223}"/>
            </a:ext>
          </a:extLst>
        </xdr:cNvPr>
        <xdr:cNvSpPr/>
      </xdr:nvSpPr>
      <xdr:spPr>
        <a:xfrm>
          <a:off x="7515225" y="1581150"/>
          <a:ext cx="1771650" cy="561975"/>
        </a:xfrm>
        <a:prstGeom prst="roundRect">
          <a:avLst/>
        </a:prstGeom>
        <a:solidFill>
          <a:srgbClr val="9999FF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ysClr val="windowText" lastClr="000000"/>
              </a:solidFill>
            </a:rPr>
            <a:t>Investor Ratios</a:t>
          </a:r>
        </a:p>
      </xdr:txBody>
    </xdr:sp>
    <xdr:clientData/>
  </xdr:twoCellAnchor>
  <xdr:twoCellAnchor>
    <xdr:from>
      <xdr:col>15</xdr:col>
      <xdr:colOff>304800</xdr:colOff>
      <xdr:row>4</xdr:row>
      <xdr:rowOff>57150</xdr:rowOff>
    </xdr:from>
    <xdr:to>
      <xdr:col>18</xdr:col>
      <xdr:colOff>247650</xdr:colOff>
      <xdr:row>7</xdr:row>
      <xdr:rowOff>47625</xdr:rowOff>
    </xdr:to>
    <xdr:sp macro="" textlink="">
      <xdr:nvSpPr>
        <xdr:cNvPr id="11" name="Rounded Rectangle 10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97A07B44-1EA1-8C68-EACE-875D797C9F24}"/>
            </a:ext>
          </a:extLst>
        </xdr:cNvPr>
        <xdr:cNvSpPr/>
      </xdr:nvSpPr>
      <xdr:spPr>
        <a:xfrm>
          <a:off x="9448800" y="914400"/>
          <a:ext cx="1771650" cy="561975"/>
        </a:xfrm>
        <a:prstGeom prst="roundRect">
          <a:avLst/>
        </a:prstGeom>
        <a:solidFill>
          <a:srgbClr val="9999FF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ysClr val="windowText" lastClr="000000"/>
              </a:solidFill>
            </a:rPr>
            <a:t>Profitability Ratios</a:t>
          </a:r>
        </a:p>
      </xdr:txBody>
    </xdr:sp>
    <xdr:clientData/>
  </xdr:twoCellAnchor>
  <xdr:twoCellAnchor>
    <xdr:from>
      <xdr:col>15</xdr:col>
      <xdr:colOff>323850</xdr:colOff>
      <xdr:row>7</xdr:row>
      <xdr:rowOff>152400</xdr:rowOff>
    </xdr:from>
    <xdr:to>
      <xdr:col>18</xdr:col>
      <xdr:colOff>266700</xdr:colOff>
      <xdr:row>10</xdr:row>
      <xdr:rowOff>152400</xdr:rowOff>
    </xdr:to>
    <xdr:sp macro="" textlink="">
      <xdr:nvSpPr>
        <xdr:cNvPr id="12" name="Rounded Rectangle 11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E2D8D7E4-D028-5960-C0B1-3C5E8CA37196}"/>
            </a:ext>
          </a:extLst>
        </xdr:cNvPr>
        <xdr:cNvSpPr/>
      </xdr:nvSpPr>
      <xdr:spPr>
        <a:xfrm>
          <a:off x="9467850" y="1581150"/>
          <a:ext cx="1771650" cy="571500"/>
        </a:xfrm>
        <a:prstGeom prst="roundRect">
          <a:avLst/>
        </a:prstGeom>
        <a:solidFill>
          <a:srgbClr val="9999FF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ysClr val="windowText" lastClr="000000"/>
              </a:solidFill>
            </a:rPr>
            <a:t>Activity</a:t>
          </a:r>
          <a:r>
            <a:rPr lang="en-US" sz="1600" baseline="0">
              <a:solidFill>
                <a:sysClr val="windowText" lastClr="000000"/>
              </a:solidFill>
            </a:rPr>
            <a:t> Ratios</a:t>
          </a:r>
          <a:endParaRPr lang="en-US" sz="16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381000</xdr:colOff>
      <xdr:row>4</xdr:row>
      <xdr:rowOff>180975</xdr:rowOff>
    </xdr:from>
    <xdr:to>
      <xdr:col>5</xdr:col>
      <xdr:colOff>323850</xdr:colOff>
      <xdr:row>7</xdr:row>
      <xdr:rowOff>171450</xdr:rowOff>
    </xdr:to>
    <xdr:sp macro="" textlink="">
      <xdr:nvSpPr>
        <xdr:cNvPr id="13" name="Rounded Rectangle 1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1EC5E9CD-E3D7-77AF-26DD-035423E145B8}"/>
            </a:ext>
          </a:extLst>
        </xdr:cNvPr>
        <xdr:cNvSpPr/>
      </xdr:nvSpPr>
      <xdr:spPr>
        <a:xfrm>
          <a:off x="1600200" y="942975"/>
          <a:ext cx="1771650" cy="561975"/>
        </a:xfrm>
        <a:prstGeom prst="roundRect">
          <a:avLst/>
        </a:prstGeom>
        <a:solidFill>
          <a:srgbClr val="9999FF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/>
              </a:solidFill>
            </a:rPr>
            <a:t>Income Statement</a:t>
          </a:r>
        </a:p>
      </xdr:txBody>
    </xdr:sp>
    <xdr:clientData/>
  </xdr:twoCellAnchor>
  <xdr:twoCellAnchor>
    <xdr:from>
      <xdr:col>15</xdr:col>
      <xdr:colOff>333375</xdr:colOff>
      <xdr:row>11</xdr:row>
      <xdr:rowOff>76200</xdr:rowOff>
    </xdr:from>
    <xdr:to>
      <xdr:col>18</xdr:col>
      <xdr:colOff>276225</xdr:colOff>
      <xdr:row>14</xdr:row>
      <xdr:rowOff>66675</xdr:rowOff>
    </xdr:to>
    <xdr:sp macro="" textlink="">
      <xdr:nvSpPr>
        <xdr:cNvPr id="14" name="Rounded Rectangle 13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BACBB05B-6DF6-2764-EF0E-4783241971E0}"/>
            </a:ext>
          </a:extLst>
        </xdr:cNvPr>
        <xdr:cNvSpPr/>
      </xdr:nvSpPr>
      <xdr:spPr>
        <a:xfrm>
          <a:off x="9477375" y="2266950"/>
          <a:ext cx="1771650" cy="561975"/>
        </a:xfrm>
        <a:prstGeom prst="roundRect">
          <a:avLst/>
        </a:prstGeom>
        <a:solidFill>
          <a:srgbClr val="9999FF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ysClr val="windowText" lastClr="000000"/>
              </a:solidFill>
            </a:rPr>
            <a:t>Du Point Analysis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133350</xdr:colOff>
      <xdr:row>8</xdr:row>
      <xdr:rowOff>171450</xdr:rowOff>
    </xdr:from>
    <xdr:to>
      <xdr:col>7</xdr:col>
      <xdr:colOff>561975</xdr:colOff>
      <xdr:row>20</xdr:row>
      <xdr:rowOff>123825</xdr:rowOff>
    </xdr:to>
    <xdr:graphicFrame macro="">
      <xdr:nvGraphicFramePr>
        <xdr:cNvPr id="2049" name="Chart 1">
          <a:extLst>
            <a:ext uri="{FF2B5EF4-FFF2-40B4-BE49-F238E27FC236}">
              <a16:creationId xmlns:a16="http://schemas.microsoft.com/office/drawing/2014/main" id="{39F37436-3B91-D9FF-78F9-FAF8E57152F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190500</xdr:colOff>
      <xdr:row>8</xdr:row>
      <xdr:rowOff>180975</xdr:rowOff>
    </xdr:from>
    <xdr:to>
      <xdr:col>14</xdr:col>
      <xdr:colOff>285750</xdr:colOff>
      <xdr:row>20</xdr:row>
      <xdr:rowOff>142875</xdr:rowOff>
    </xdr:to>
    <xdr:graphicFrame macro="">
      <xdr:nvGraphicFramePr>
        <xdr:cNvPr id="2050" name="Chart 2">
          <a:extLst>
            <a:ext uri="{FF2B5EF4-FFF2-40B4-BE49-F238E27FC236}">
              <a16:creationId xmlns:a16="http://schemas.microsoft.com/office/drawing/2014/main" id="{AEBFF692-2B88-C81E-A94F-D59DAA7094E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142875</xdr:colOff>
      <xdr:row>23</xdr:row>
      <xdr:rowOff>104775</xdr:rowOff>
    </xdr:from>
    <xdr:to>
      <xdr:col>7</xdr:col>
      <xdr:colOff>590550</xdr:colOff>
      <xdr:row>36</xdr:row>
      <xdr:rowOff>85725</xdr:rowOff>
    </xdr:to>
    <xdr:graphicFrame macro="">
      <xdr:nvGraphicFramePr>
        <xdr:cNvPr id="2051" name="Chart 3">
          <a:extLst>
            <a:ext uri="{FF2B5EF4-FFF2-40B4-BE49-F238E27FC236}">
              <a16:creationId xmlns:a16="http://schemas.microsoft.com/office/drawing/2014/main" id="{FE663CBC-D09B-528D-E1ED-1D1E6E604CC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190500</xdr:colOff>
      <xdr:row>23</xdr:row>
      <xdr:rowOff>123825</xdr:rowOff>
    </xdr:from>
    <xdr:to>
      <xdr:col>14</xdr:col>
      <xdr:colOff>390525</xdr:colOff>
      <xdr:row>36</xdr:row>
      <xdr:rowOff>28575</xdr:rowOff>
    </xdr:to>
    <xdr:graphicFrame macro="">
      <xdr:nvGraphicFramePr>
        <xdr:cNvPr id="2052" name="Chart 5">
          <a:extLst>
            <a:ext uri="{FF2B5EF4-FFF2-40B4-BE49-F238E27FC236}">
              <a16:creationId xmlns:a16="http://schemas.microsoft.com/office/drawing/2014/main" id="{DC306EB3-8937-056F-754D-DFA270DC71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190500</xdr:colOff>
      <xdr:row>38</xdr:row>
      <xdr:rowOff>0</xdr:rowOff>
    </xdr:from>
    <xdr:to>
      <xdr:col>7</xdr:col>
      <xdr:colOff>400050</xdr:colOff>
      <xdr:row>49</xdr:row>
      <xdr:rowOff>161925</xdr:rowOff>
    </xdr:to>
    <xdr:graphicFrame macro="">
      <xdr:nvGraphicFramePr>
        <xdr:cNvPr id="2053" name="Chart 6">
          <a:extLst>
            <a:ext uri="{FF2B5EF4-FFF2-40B4-BE49-F238E27FC236}">
              <a16:creationId xmlns:a16="http://schemas.microsoft.com/office/drawing/2014/main" id="{33E06816-BDAA-698C-B036-DA7A51EB431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323850</xdr:colOff>
      <xdr:row>0</xdr:row>
      <xdr:rowOff>0</xdr:rowOff>
    </xdr:from>
    <xdr:to>
      <xdr:col>12</xdr:col>
      <xdr:colOff>171450</xdr:colOff>
      <xdr:row>11</xdr:row>
      <xdr:rowOff>76200</xdr:rowOff>
    </xdr:to>
    <xdr:graphicFrame macro="">
      <xdr:nvGraphicFramePr>
        <xdr:cNvPr id="3073" name="Chart 1">
          <a:extLst>
            <a:ext uri="{FF2B5EF4-FFF2-40B4-BE49-F238E27FC236}">
              <a16:creationId xmlns:a16="http://schemas.microsoft.com/office/drawing/2014/main" id="{ECD98B09-F810-6D78-1A71-84C339BF3D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133349</xdr:colOff>
      <xdr:row>0</xdr:row>
      <xdr:rowOff>0</xdr:rowOff>
    </xdr:from>
    <xdr:to>
      <xdr:col>11</xdr:col>
      <xdr:colOff>276225</xdr:colOff>
      <xdr:row>1</xdr:row>
      <xdr:rowOff>180975</xdr:rowOff>
    </xdr:to>
    <xdr:sp macro="" textlink="">
      <xdr:nvSpPr>
        <xdr:cNvPr id="2" name="Rounded 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E8BFE9B-21A3-78F1-91EF-30642124FADF}"/>
            </a:ext>
          </a:extLst>
        </xdr:cNvPr>
        <xdr:cNvSpPr/>
      </xdr:nvSpPr>
      <xdr:spPr>
        <a:xfrm>
          <a:off x="8753474" y="0"/>
          <a:ext cx="1362076" cy="371475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Back to Flip Sheet</a:t>
          </a:r>
        </a:p>
        <a:p>
          <a:pPr algn="l"/>
          <a:endParaRPr lang="en-US" sz="1100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28575</xdr:colOff>
      <xdr:row>41</xdr:row>
      <xdr:rowOff>0</xdr:rowOff>
    </xdr:from>
    <xdr:to>
      <xdr:col>8</xdr:col>
      <xdr:colOff>600075</xdr:colOff>
      <xdr:row>43</xdr:row>
      <xdr:rowOff>9525</xdr:rowOff>
    </xdr:to>
    <xdr:sp macro="[0]!Balancing_BS" textlink="">
      <xdr:nvSpPr>
        <xdr:cNvPr id="2" name="Rounded Rectangle 1">
          <a:extLst>
            <a:ext uri="{FF2B5EF4-FFF2-40B4-BE49-F238E27FC236}">
              <a16:creationId xmlns:a16="http://schemas.microsoft.com/office/drawing/2014/main" id="{D4473793-F94D-DB8D-6CDD-BD001DBA1CC0}"/>
            </a:ext>
          </a:extLst>
        </xdr:cNvPr>
        <xdr:cNvSpPr/>
      </xdr:nvSpPr>
      <xdr:spPr>
        <a:xfrm>
          <a:off x="7781925" y="8372475"/>
          <a:ext cx="1847850" cy="390525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/>
            <a:t>Click to Balance</a:t>
          </a:r>
        </a:p>
      </xdr:txBody>
    </xdr:sp>
    <xdr:clientData/>
  </xdr:twoCellAnchor>
  <xdr:twoCellAnchor>
    <xdr:from>
      <xdr:col>10</xdr:col>
      <xdr:colOff>0</xdr:colOff>
      <xdr:row>0</xdr:row>
      <xdr:rowOff>0</xdr:rowOff>
    </xdr:from>
    <xdr:to>
      <xdr:col>12</xdr:col>
      <xdr:colOff>142876</xdr:colOff>
      <xdr:row>1</xdr:row>
      <xdr:rowOff>180975</xdr:rowOff>
    </xdr:to>
    <xdr:sp macro="" textlink="">
      <xdr:nvSpPr>
        <xdr:cNvPr id="13" name="Rounded Rectangle 1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1AC743F-3A1B-B726-3871-1C04F5F7C290}"/>
            </a:ext>
          </a:extLst>
        </xdr:cNvPr>
        <xdr:cNvSpPr/>
      </xdr:nvSpPr>
      <xdr:spPr>
        <a:xfrm>
          <a:off x="10248900" y="0"/>
          <a:ext cx="1362076" cy="371475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Back to Flip Sheet</a:t>
          </a:r>
        </a:p>
        <a:p>
          <a:pPr algn="l"/>
          <a:endParaRPr lang="en-US" sz="1100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0</xdr:row>
      <xdr:rowOff>0</xdr:rowOff>
    </xdr:from>
    <xdr:to>
      <xdr:col>10</xdr:col>
      <xdr:colOff>142876</xdr:colOff>
      <xdr:row>1</xdr:row>
      <xdr:rowOff>180975</xdr:rowOff>
    </xdr:to>
    <xdr:sp macro="" textlink="">
      <xdr:nvSpPr>
        <xdr:cNvPr id="4" name="Rounded Rectangle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56095B-F1B0-955D-7AEA-334054CFC504}"/>
            </a:ext>
          </a:extLst>
        </xdr:cNvPr>
        <xdr:cNvSpPr/>
      </xdr:nvSpPr>
      <xdr:spPr>
        <a:xfrm>
          <a:off x="10753725" y="0"/>
          <a:ext cx="1362076" cy="371475"/>
        </a:xfrm>
        <a:prstGeom prst="roundRect">
          <a:avLst/>
        </a:prstGeom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Back to Flip Sheet</a:t>
          </a:r>
        </a:p>
        <a:p>
          <a:pPr algn="l"/>
          <a:endParaRPr lang="en-US" sz="1100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209550</xdr:colOff>
      <xdr:row>22</xdr:row>
      <xdr:rowOff>171450</xdr:rowOff>
    </xdr:from>
    <xdr:to>
      <xdr:col>10</xdr:col>
      <xdr:colOff>695325</xdr:colOff>
      <xdr:row>37</xdr:row>
      <xdr:rowOff>57150</xdr:rowOff>
    </xdr:to>
    <xdr:graphicFrame macro="">
      <xdr:nvGraphicFramePr>
        <xdr:cNvPr id="15363" name="Chart 1">
          <a:extLst>
            <a:ext uri="{FF2B5EF4-FFF2-40B4-BE49-F238E27FC236}">
              <a16:creationId xmlns:a16="http://schemas.microsoft.com/office/drawing/2014/main" id="{A7A127B9-4C85-0EBC-037F-9189237C0D8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0</xdr:row>
      <xdr:rowOff>0</xdr:rowOff>
    </xdr:from>
    <xdr:to>
      <xdr:col>8</xdr:col>
      <xdr:colOff>114301</xdr:colOff>
      <xdr:row>2</xdr:row>
      <xdr:rowOff>19050</xdr:rowOff>
    </xdr:to>
    <xdr:sp macro="" textlink="">
      <xdr:nvSpPr>
        <xdr:cNvPr id="13" name="Rounded Rectangle 1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C705FCC-C638-6301-5BBB-ED87D4F483AE}"/>
            </a:ext>
          </a:extLst>
        </xdr:cNvPr>
        <xdr:cNvSpPr/>
      </xdr:nvSpPr>
      <xdr:spPr>
        <a:xfrm>
          <a:off x="10544175" y="0"/>
          <a:ext cx="1362076" cy="371475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Back to Flip Sheet</a:t>
          </a:r>
        </a:p>
        <a:p>
          <a:pPr algn="l"/>
          <a:endParaRPr lang="en-US" sz="1100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0</xdr:rowOff>
    </xdr:from>
    <xdr:to>
      <xdr:col>10</xdr:col>
      <xdr:colOff>257176</xdr:colOff>
      <xdr:row>1</xdr:row>
      <xdr:rowOff>180975</xdr:rowOff>
    </xdr:to>
    <xdr:sp macro="" textlink="">
      <xdr:nvSpPr>
        <xdr:cNvPr id="3" name="Rounded Rectangle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4310595-EF4A-4223-2FD9-6E730402A156}"/>
            </a:ext>
          </a:extLst>
        </xdr:cNvPr>
        <xdr:cNvSpPr/>
      </xdr:nvSpPr>
      <xdr:spPr>
        <a:xfrm>
          <a:off x="10496550" y="0"/>
          <a:ext cx="1362076" cy="371475"/>
        </a:xfrm>
        <a:prstGeom prst="roundRect">
          <a:avLst/>
        </a:prstGeom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Back to Flip Sheet</a:t>
          </a:r>
        </a:p>
        <a:p>
          <a:pPr algn="l"/>
          <a:endParaRPr lang="en-US" sz="1100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285751</xdr:colOff>
      <xdr:row>1</xdr:row>
      <xdr:rowOff>180975</xdr:rowOff>
    </xdr:to>
    <xdr:sp macro="" textlink="">
      <xdr:nvSpPr>
        <xdr:cNvPr id="3" name="Rounded Rectangle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AC0AE74-9FB7-C242-64A8-E0633F6D4B1E}"/>
            </a:ext>
          </a:extLst>
        </xdr:cNvPr>
        <xdr:cNvSpPr/>
      </xdr:nvSpPr>
      <xdr:spPr>
        <a:xfrm>
          <a:off x="8096250" y="0"/>
          <a:ext cx="1362076" cy="371475"/>
        </a:xfrm>
        <a:prstGeom prst="roundRect">
          <a:avLst/>
        </a:prstGeom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Back to Flip Sheet</a:t>
          </a:r>
        </a:p>
        <a:p>
          <a:pPr algn="l"/>
          <a:endParaRPr lang="en-US" sz="1100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0</xdr:row>
      <xdr:rowOff>0</xdr:rowOff>
    </xdr:from>
    <xdr:to>
      <xdr:col>12</xdr:col>
      <xdr:colOff>438151</xdr:colOff>
      <xdr:row>1</xdr:row>
      <xdr:rowOff>180975</xdr:rowOff>
    </xdr:to>
    <xdr:sp macro="" textlink="">
      <xdr:nvSpPr>
        <xdr:cNvPr id="2" name="Rounded 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5239235-0D63-CD5B-8070-F1F9DE983F80}"/>
            </a:ext>
          </a:extLst>
        </xdr:cNvPr>
        <xdr:cNvSpPr/>
      </xdr:nvSpPr>
      <xdr:spPr>
        <a:xfrm>
          <a:off x="10287000" y="0"/>
          <a:ext cx="1362076" cy="371475"/>
        </a:xfrm>
        <a:prstGeom prst="roundRect">
          <a:avLst/>
        </a:prstGeom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Back to Flip Sheet</a:t>
          </a:r>
        </a:p>
        <a:p>
          <a:pPr algn="l"/>
          <a:endParaRPr lang="en-US" sz="1100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10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3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C2:S23"/>
  <sheetViews>
    <sheetView showGridLines="0" workbookViewId="0">
      <selection activeCell="E6" sqref="E6"/>
    </sheetView>
  </sheetViews>
  <sheetFormatPr defaultRowHeight="15" x14ac:dyDescent="0.25"/>
  <sheetData>
    <row r="2" spans="3:19" x14ac:dyDescent="0.25">
      <c r="E2" s="230"/>
    </row>
    <row r="3" spans="3:19" ht="15.75" thickBot="1" x14ac:dyDescent="0.3"/>
    <row r="4" spans="3:19" ht="21.75" x14ac:dyDescent="0.35">
      <c r="C4" s="255" t="s">
        <v>413</v>
      </c>
      <c r="D4" s="256"/>
      <c r="E4" s="256"/>
      <c r="F4" s="257"/>
      <c r="H4" s="231"/>
      <c r="I4" s="256" t="s">
        <v>418</v>
      </c>
      <c r="J4" s="258"/>
      <c r="K4" s="232"/>
      <c r="M4" s="244"/>
      <c r="N4" s="253"/>
      <c r="O4" s="254" t="s">
        <v>424</v>
      </c>
      <c r="P4" s="245"/>
      <c r="Q4" s="245"/>
      <c r="R4" s="245"/>
      <c r="S4" s="246"/>
    </row>
    <row r="5" spans="3:19" x14ac:dyDescent="0.25">
      <c r="C5" s="213"/>
      <c r="D5" s="214"/>
      <c r="E5" s="214"/>
      <c r="F5" s="215"/>
      <c r="H5" s="213"/>
      <c r="I5" s="214"/>
      <c r="J5" s="214"/>
      <c r="K5" s="215"/>
      <c r="M5" s="247"/>
      <c r="N5" s="248"/>
      <c r="O5" s="248"/>
      <c r="P5" s="248"/>
      <c r="Q5" s="248"/>
      <c r="R5" s="248"/>
      <c r="S5" s="249"/>
    </row>
    <row r="6" spans="3:19" x14ac:dyDescent="0.25">
      <c r="C6" s="213"/>
      <c r="D6" s="214"/>
      <c r="E6" s="229" t="s">
        <v>417</v>
      </c>
      <c r="F6" s="215"/>
      <c r="H6" s="213"/>
      <c r="I6" s="214"/>
      <c r="J6" s="214"/>
      <c r="K6" s="215"/>
      <c r="M6" s="247"/>
      <c r="N6" s="248"/>
      <c r="O6" s="248"/>
      <c r="P6" s="248"/>
      <c r="Q6" s="248"/>
      <c r="R6" s="248"/>
      <c r="S6" s="249"/>
    </row>
    <row r="7" spans="3:19" x14ac:dyDescent="0.25">
      <c r="C7" s="213"/>
      <c r="D7" s="214"/>
      <c r="E7" s="214"/>
      <c r="F7" s="215"/>
      <c r="H7" s="213"/>
      <c r="I7" s="214"/>
      <c r="J7" s="214"/>
      <c r="K7" s="215"/>
      <c r="M7" s="247"/>
      <c r="N7" s="248"/>
      <c r="O7" s="248"/>
      <c r="P7" s="248"/>
      <c r="Q7" s="248"/>
      <c r="R7" s="248"/>
      <c r="S7" s="249"/>
    </row>
    <row r="8" spans="3:19" x14ac:dyDescent="0.25">
      <c r="C8" s="213"/>
      <c r="D8" s="214"/>
      <c r="E8" s="214"/>
      <c r="F8" s="215"/>
      <c r="H8" s="213"/>
      <c r="I8" s="214"/>
      <c r="J8" s="214"/>
      <c r="K8" s="215"/>
      <c r="M8" s="247"/>
      <c r="N8" s="248"/>
      <c r="O8" s="248"/>
      <c r="P8" s="248"/>
      <c r="Q8" s="248"/>
      <c r="R8" s="248"/>
      <c r="S8" s="249"/>
    </row>
    <row r="9" spans="3:19" x14ac:dyDescent="0.25">
      <c r="C9" s="213"/>
      <c r="D9" s="214"/>
      <c r="E9" s="214"/>
      <c r="F9" s="215"/>
      <c r="H9" s="213"/>
      <c r="I9" s="214"/>
      <c r="J9" s="214"/>
      <c r="K9" s="215"/>
      <c r="M9" s="247"/>
      <c r="N9" s="248"/>
      <c r="O9" s="248"/>
      <c r="P9" s="248"/>
      <c r="Q9" s="248"/>
      <c r="R9" s="248"/>
      <c r="S9" s="249"/>
    </row>
    <row r="10" spans="3:19" x14ac:dyDescent="0.25">
      <c r="C10" s="213"/>
      <c r="D10" s="214"/>
      <c r="E10" s="214"/>
      <c r="F10" s="215"/>
      <c r="H10" s="213"/>
      <c r="I10" s="214"/>
      <c r="J10" s="214"/>
      <c r="K10" s="215"/>
      <c r="M10" s="247"/>
      <c r="N10" s="248"/>
      <c r="O10" s="248"/>
      <c r="P10" s="248"/>
      <c r="Q10" s="248"/>
      <c r="R10" s="248"/>
      <c r="S10" s="249"/>
    </row>
    <row r="11" spans="3:19" x14ac:dyDescent="0.25">
      <c r="C11" s="213"/>
      <c r="D11" s="214"/>
      <c r="E11" s="214"/>
      <c r="F11" s="215"/>
      <c r="H11" s="213"/>
      <c r="I11" s="214"/>
      <c r="J11" s="214"/>
      <c r="K11" s="215"/>
      <c r="M11" s="247"/>
      <c r="N11" s="248"/>
      <c r="O11" s="248"/>
      <c r="P11" s="248"/>
      <c r="Q11" s="248"/>
      <c r="R11" s="248"/>
      <c r="S11" s="249"/>
    </row>
    <row r="12" spans="3:19" x14ac:dyDescent="0.25">
      <c r="C12" s="213"/>
      <c r="D12" s="214"/>
      <c r="E12" s="214"/>
      <c r="F12" s="215"/>
      <c r="H12" s="213"/>
      <c r="I12" s="214"/>
      <c r="J12" s="214"/>
      <c r="K12" s="215"/>
      <c r="M12" s="247"/>
      <c r="N12" s="248"/>
      <c r="O12" s="248"/>
      <c r="P12" s="248"/>
      <c r="Q12" s="248"/>
      <c r="R12" s="248"/>
      <c r="S12" s="249"/>
    </row>
    <row r="13" spans="3:19" x14ac:dyDescent="0.25">
      <c r="C13" s="213"/>
      <c r="D13" s="214"/>
      <c r="E13" s="214"/>
      <c r="F13" s="215"/>
      <c r="H13" s="213"/>
      <c r="I13" s="214"/>
      <c r="J13" s="214"/>
      <c r="K13" s="215"/>
      <c r="M13" s="247"/>
      <c r="N13" s="248"/>
      <c r="O13" s="248"/>
      <c r="P13" s="248"/>
      <c r="Q13" s="248"/>
      <c r="R13" s="248"/>
      <c r="S13" s="249"/>
    </row>
    <row r="14" spans="3:19" x14ac:dyDescent="0.25">
      <c r="C14" s="213"/>
      <c r="D14" s="214"/>
      <c r="E14" s="214"/>
      <c r="F14" s="215"/>
      <c r="H14" s="213"/>
      <c r="I14" s="214"/>
      <c r="J14" s="214"/>
      <c r="K14" s="215"/>
      <c r="M14" s="247"/>
      <c r="N14" s="248"/>
      <c r="O14" s="248"/>
      <c r="P14" s="248"/>
      <c r="Q14" s="248"/>
      <c r="R14" s="248"/>
      <c r="S14" s="249"/>
    </row>
    <row r="15" spans="3:19" ht="15.75" thickBot="1" x14ac:dyDescent="0.3">
      <c r="C15" s="213"/>
      <c r="D15" s="214"/>
      <c r="E15" s="214"/>
      <c r="F15" s="215"/>
      <c r="H15" s="213"/>
      <c r="I15" s="214"/>
      <c r="J15" s="214"/>
      <c r="K15" s="215"/>
      <c r="M15" s="250"/>
      <c r="N15" s="251"/>
      <c r="O15" s="251"/>
      <c r="P15" s="251"/>
      <c r="Q15" s="251"/>
      <c r="R15" s="251"/>
      <c r="S15" s="252"/>
    </row>
    <row r="16" spans="3:19" ht="15.75" thickBot="1" x14ac:dyDescent="0.3">
      <c r="C16" s="216"/>
      <c r="D16" s="217"/>
      <c r="E16" s="217"/>
      <c r="F16" s="218"/>
      <c r="H16" s="216"/>
      <c r="I16" s="217"/>
      <c r="J16" s="217"/>
      <c r="K16" s="218"/>
      <c r="M16" s="243"/>
      <c r="N16" s="243"/>
      <c r="O16" s="243"/>
      <c r="P16" s="243"/>
    </row>
    <row r="17" spans="13:16" x14ac:dyDescent="0.25">
      <c r="M17" s="243"/>
      <c r="N17" s="243"/>
      <c r="O17" s="243"/>
      <c r="P17" s="243"/>
    </row>
    <row r="18" spans="13:16" x14ac:dyDescent="0.25">
      <c r="M18" s="243"/>
      <c r="N18" s="243"/>
      <c r="O18" s="243"/>
      <c r="P18" s="243"/>
    </row>
    <row r="19" spans="13:16" x14ac:dyDescent="0.25">
      <c r="M19" s="243"/>
      <c r="N19" s="243"/>
      <c r="O19" s="243"/>
      <c r="P19" s="243"/>
    </row>
    <row r="20" spans="13:16" x14ac:dyDescent="0.25">
      <c r="M20" s="243"/>
      <c r="N20" s="243"/>
      <c r="O20" s="243"/>
      <c r="P20" s="243"/>
    </row>
    <row r="21" spans="13:16" x14ac:dyDescent="0.25">
      <c r="M21" s="243"/>
      <c r="N21" s="243"/>
      <c r="O21" s="243"/>
      <c r="P21" s="243"/>
    </row>
    <row r="22" spans="13:16" x14ac:dyDescent="0.25">
      <c r="M22" s="243"/>
      <c r="N22" s="243"/>
      <c r="O22" s="243"/>
      <c r="P22" s="243"/>
    </row>
    <row r="23" spans="13:16" x14ac:dyDescent="0.25">
      <c r="M23" s="243"/>
      <c r="N23" s="243"/>
      <c r="O23" s="243"/>
      <c r="P23" s="243"/>
    </row>
  </sheetData>
  <mergeCells count="2">
    <mergeCell ref="C4:F4"/>
    <mergeCell ref="I4:J4"/>
  </mergeCells>
  <hyperlinks>
    <hyperlink ref="E6" location="IS!A1" display="IS!A1"/>
  </hyperlink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8:O51"/>
  <sheetViews>
    <sheetView showGridLines="0" workbookViewId="0">
      <selection activeCell="R44" sqref="R44"/>
    </sheetView>
  </sheetViews>
  <sheetFormatPr defaultRowHeight="15" x14ac:dyDescent="0.25"/>
  <sheetData>
    <row r="8" spans="2:15" ht="15.75" thickBot="1" x14ac:dyDescent="0.3"/>
    <row r="9" spans="2:15" x14ac:dyDescent="0.25">
      <c r="B9" s="219"/>
      <c r="C9" s="220"/>
      <c r="D9" s="220"/>
      <c r="E9" s="220"/>
      <c r="F9" s="220"/>
      <c r="G9" s="220"/>
      <c r="H9" s="220"/>
      <c r="I9" s="220"/>
      <c r="J9" s="220"/>
      <c r="K9" s="220"/>
      <c r="L9" s="220"/>
      <c r="M9" s="220"/>
      <c r="N9" s="220"/>
      <c r="O9" s="221"/>
    </row>
    <row r="10" spans="2:15" x14ac:dyDescent="0.25">
      <c r="B10" s="222"/>
      <c r="C10" s="159"/>
      <c r="D10" s="159"/>
      <c r="E10" s="159"/>
      <c r="F10" s="159"/>
      <c r="G10" s="159"/>
      <c r="H10" s="159"/>
      <c r="I10" s="159"/>
      <c r="J10" s="159"/>
      <c r="K10" s="159"/>
      <c r="L10" s="159"/>
      <c r="M10" s="159"/>
      <c r="N10" s="159"/>
      <c r="O10" s="223"/>
    </row>
    <row r="11" spans="2:15" x14ac:dyDescent="0.25">
      <c r="B11" s="222"/>
      <c r="C11" s="159"/>
      <c r="D11" s="159"/>
      <c r="E11" s="159"/>
      <c r="F11" s="159"/>
      <c r="G11" s="159"/>
      <c r="H11" s="159"/>
      <c r="I11" s="159"/>
      <c r="J11" s="159"/>
      <c r="K11" s="159"/>
      <c r="L11" s="159"/>
      <c r="M11" s="159"/>
      <c r="N11" s="159"/>
      <c r="O11" s="223"/>
    </row>
    <row r="12" spans="2:15" x14ac:dyDescent="0.25">
      <c r="B12" s="222"/>
      <c r="C12" s="159"/>
      <c r="D12" s="159"/>
      <c r="E12" s="159"/>
      <c r="F12" s="159"/>
      <c r="G12" s="159"/>
      <c r="H12" s="159"/>
      <c r="I12" s="159"/>
      <c r="J12" s="159"/>
      <c r="K12" s="159"/>
      <c r="L12" s="159"/>
      <c r="M12" s="159"/>
      <c r="N12" s="159"/>
      <c r="O12" s="223"/>
    </row>
    <row r="13" spans="2:15" x14ac:dyDescent="0.25">
      <c r="B13" s="222"/>
      <c r="C13" s="159"/>
      <c r="D13" s="159"/>
      <c r="E13" s="159"/>
      <c r="F13" s="159"/>
      <c r="G13" s="159"/>
      <c r="H13" s="159"/>
      <c r="I13" s="159"/>
      <c r="J13" s="159"/>
      <c r="K13" s="159"/>
      <c r="L13" s="159"/>
      <c r="M13" s="159"/>
      <c r="N13" s="159"/>
      <c r="O13" s="223"/>
    </row>
    <row r="14" spans="2:15" x14ac:dyDescent="0.25">
      <c r="B14" s="222"/>
      <c r="C14" s="159"/>
      <c r="D14" s="159"/>
      <c r="E14" s="159"/>
      <c r="F14" s="159"/>
      <c r="G14" s="159"/>
      <c r="H14" s="159"/>
      <c r="I14" s="159"/>
      <c r="J14" s="159"/>
      <c r="K14" s="159"/>
      <c r="L14" s="159"/>
      <c r="M14" s="159"/>
      <c r="N14" s="159"/>
      <c r="O14" s="223"/>
    </row>
    <row r="15" spans="2:15" x14ac:dyDescent="0.25">
      <c r="B15" s="222"/>
      <c r="C15" s="159"/>
      <c r="D15" s="159"/>
      <c r="E15" s="159"/>
      <c r="F15" s="159"/>
      <c r="G15" s="159"/>
      <c r="H15" s="159"/>
      <c r="I15" s="159"/>
      <c r="J15" s="159"/>
      <c r="K15" s="159"/>
      <c r="L15" s="159"/>
      <c r="M15" s="159"/>
      <c r="N15" s="159"/>
      <c r="O15" s="223"/>
    </row>
    <row r="16" spans="2:15" x14ac:dyDescent="0.25">
      <c r="B16" s="222"/>
      <c r="C16" s="159"/>
      <c r="D16" s="159"/>
      <c r="E16" s="159"/>
      <c r="F16" s="159"/>
      <c r="G16" s="159"/>
      <c r="H16" s="159"/>
      <c r="I16" s="159"/>
      <c r="J16" s="159"/>
      <c r="K16" s="159"/>
      <c r="L16" s="159"/>
      <c r="M16" s="159"/>
      <c r="N16" s="159"/>
      <c r="O16" s="223"/>
    </row>
    <row r="17" spans="2:15" x14ac:dyDescent="0.25">
      <c r="B17" s="222"/>
      <c r="C17" s="159"/>
      <c r="D17" s="159"/>
      <c r="E17" s="159"/>
      <c r="F17" s="159"/>
      <c r="G17" s="159"/>
      <c r="H17" s="159"/>
      <c r="I17" s="159"/>
      <c r="J17" s="159"/>
      <c r="K17" s="159"/>
      <c r="L17" s="159"/>
      <c r="M17" s="159"/>
      <c r="N17" s="159"/>
      <c r="O17" s="223"/>
    </row>
    <row r="18" spans="2:15" x14ac:dyDescent="0.25">
      <c r="B18" s="222"/>
      <c r="C18" s="159"/>
      <c r="D18" s="159"/>
      <c r="E18" s="159"/>
      <c r="F18" s="159"/>
      <c r="G18" s="159"/>
      <c r="H18" s="159"/>
      <c r="I18" s="159"/>
      <c r="J18" s="159"/>
      <c r="K18" s="159"/>
      <c r="L18" s="159"/>
      <c r="M18" s="159"/>
      <c r="N18" s="159"/>
      <c r="O18" s="223"/>
    </row>
    <row r="19" spans="2:15" x14ac:dyDescent="0.25">
      <c r="B19" s="222"/>
      <c r="C19" s="159"/>
      <c r="D19" s="159"/>
      <c r="E19" s="159"/>
      <c r="F19" s="159"/>
      <c r="G19" s="159"/>
      <c r="H19" s="159"/>
      <c r="I19" s="159"/>
      <c r="J19" s="159"/>
      <c r="K19" s="159"/>
      <c r="L19" s="159"/>
      <c r="M19" s="159"/>
      <c r="N19" s="159"/>
      <c r="O19" s="223"/>
    </row>
    <row r="20" spans="2:15" x14ac:dyDescent="0.25">
      <c r="B20" s="222"/>
      <c r="C20" s="159"/>
      <c r="D20" s="159"/>
      <c r="E20" s="159"/>
      <c r="F20" s="159"/>
      <c r="G20" s="159"/>
      <c r="H20" s="159"/>
      <c r="I20" s="159"/>
      <c r="J20" s="159"/>
      <c r="K20" s="159"/>
      <c r="L20" s="159"/>
      <c r="M20" s="159"/>
      <c r="N20" s="159"/>
      <c r="O20" s="223"/>
    </row>
    <row r="21" spans="2:15" x14ac:dyDescent="0.25">
      <c r="B21" s="222"/>
      <c r="C21" s="159"/>
      <c r="D21" s="159"/>
      <c r="E21" s="159"/>
      <c r="F21" s="159"/>
      <c r="G21" s="159"/>
      <c r="H21" s="159"/>
      <c r="I21" s="159"/>
      <c r="J21" s="159"/>
      <c r="K21" s="159"/>
      <c r="L21" s="159"/>
      <c r="M21" s="159"/>
      <c r="N21" s="159"/>
      <c r="O21" s="223"/>
    </row>
    <row r="22" spans="2:15" ht="15.75" thickBot="1" x14ac:dyDescent="0.3">
      <c r="B22" s="224"/>
      <c r="C22" s="225"/>
      <c r="D22" s="225"/>
      <c r="E22" s="225"/>
      <c r="F22" s="225"/>
      <c r="G22" s="225"/>
      <c r="H22" s="225"/>
      <c r="I22" s="225"/>
      <c r="J22" s="225"/>
      <c r="K22" s="225"/>
      <c r="L22" s="225"/>
      <c r="M22" s="225"/>
      <c r="N22" s="225"/>
      <c r="O22" s="226"/>
    </row>
    <row r="23" spans="2:15" ht="15.75" thickBot="1" x14ac:dyDescent="0.3"/>
    <row r="24" spans="2:15" x14ac:dyDescent="0.25">
      <c r="B24" s="219"/>
      <c r="C24" s="220"/>
      <c r="D24" s="220"/>
      <c r="E24" s="220"/>
      <c r="F24" s="220"/>
      <c r="G24" s="220"/>
      <c r="H24" s="220"/>
      <c r="I24" s="220"/>
      <c r="J24" s="220"/>
      <c r="K24" s="220"/>
      <c r="L24" s="220"/>
      <c r="M24" s="220"/>
      <c r="N24" s="220"/>
      <c r="O24" s="221"/>
    </row>
    <row r="25" spans="2:15" x14ac:dyDescent="0.25">
      <c r="B25" s="222"/>
      <c r="C25" s="159"/>
      <c r="D25" s="159"/>
      <c r="E25" s="159"/>
      <c r="F25" s="159"/>
      <c r="G25" s="159"/>
      <c r="H25" s="159"/>
      <c r="I25" s="159"/>
      <c r="J25" s="159"/>
      <c r="K25" s="159"/>
      <c r="L25" s="159"/>
      <c r="M25" s="159"/>
      <c r="N25" s="159"/>
      <c r="O25" s="223"/>
    </row>
    <row r="26" spans="2:15" x14ac:dyDescent="0.25">
      <c r="B26" s="222"/>
      <c r="C26" s="159"/>
      <c r="D26" s="159"/>
      <c r="E26" s="159"/>
      <c r="F26" s="159"/>
      <c r="G26" s="159"/>
      <c r="H26" s="159"/>
      <c r="I26" s="159"/>
      <c r="J26" s="159"/>
      <c r="K26" s="159"/>
      <c r="L26" s="159"/>
      <c r="M26" s="159"/>
      <c r="N26" s="159"/>
      <c r="O26" s="223"/>
    </row>
    <row r="27" spans="2:15" x14ac:dyDescent="0.25">
      <c r="B27" s="222"/>
      <c r="C27" s="159"/>
      <c r="D27" s="159"/>
      <c r="E27" s="159"/>
      <c r="F27" s="159"/>
      <c r="G27" s="159"/>
      <c r="H27" s="159"/>
      <c r="I27" s="159"/>
      <c r="J27" s="159"/>
      <c r="K27" s="159"/>
      <c r="L27" s="159"/>
      <c r="M27" s="159"/>
      <c r="N27" s="159"/>
      <c r="O27" s="223"/>
    </row>
    <row r="28" spans="2:15" x14ac:dyDescent="0.25">
      <c r="B28" s="222"/>
      <c r="C28" s="159"/>
      <c r="D28" s="159"/>
      <c r="E28" s="159"/>
      <c r="F28" s="159"/>
      <c r="G28" s="159"/>
      <c r="H28" s="159"/>
      <c r="I28" s="159"/>
      <c r="J28" s="159"/>
      <c r="K28" s="159"/>
      <c r="L28" s="159"/>
      <c r="M28" s="159"/>
      <c r="N28" s="159"/>
      <c r="O28" s="223"/>
    </row>
    <row r="29" spans="2:15" x14ac:dyDescent="0.25">
      <c r="B29" s="222"/>
      <c r="C29" s="159"/>
      <c r="D29" s="159"/>
      <c r="E29" s="159"/>
      <c r="F29" s="159"/>
      <c r="G29" s="159"/>
      <c r="H29" s="159"/>
      <c r="I29" s="159"/>
      <c r="J29" s="159"/>
      <c r="K29" s="159"/>
      <c r="L29" s="159"/>
      <c r="M29" s="159"/>
      <c r="N29" s="159"/>
      <c r="O29" s="223"/>
    </row>
    <row r="30" spans="2:15" x14ac:dyDescent="0.25">
      <c r="B30" s="222"/>
      <c r="C30" s="159"/>
      <c r="D30" s="159"/>
      <c r="E30" s="159"/>
      <c r="F30" s="159"/>
      <c r="G30" s="159"/>
      <c r="H30" s="159"/>
      <c r="I30" s="159"/>
      <c r="J30" s="159"/>
      <c r="K30" s="159"/>
      <c r="L30" s="159"/>
      <c r="M30" s="159"/>
      <c r="N30" s="159"/>
      <c r="O30" s="223"/>
    </row>
    <row r="31" spans="2:15" x14ac:dyDescent="0.25">
      <c r="B31" s="222"/>
      <c r="C31" s="159"/>
      <c r="D31" s="159"/>
      <c r="E31" s="159"/>
      <c r="F31" s="159"/>
      <c r="G31" s="159"/>
      <c r="H31" s="159"/>
      <c r="I31" s="159"/>
      <c r="J31" s="159"/>
      <c r="K31" s="159"/>
      <c r="L31" s="159"/>
      <c r="M31" s="159"/>
      <c r="N31" s="159"/>
      <c r="O31" s="223"/>
    </row>
    <row r="32" spans="2:15" x14ac:dyDescent="0.25">
      <c r="B32" s="222"/>
      <c r="C32" s="159"/>
      <c r="D32" s="159"/>
      <c r="E32" s="159"/>
      <c r="F32" s="159"/>
      <c r="G32" s="159"/>
      <c r="H32" s="159"/>
      <c r="I32" s="159"/>
      <c r="J32" s="159"/>
      <c r="K32" s="159"/>
      <c r="L32" s="159"/>
      <c r="M32" s="159"/>
      <c r="N32" s="159"/>
      <c r="O32" s="223"/>
    </row>
    <row r="33" spans="2:15" x14ac:dyDescent="0.25">
      <c r="B33" s="222"/>
      <c r="C33" s="159"/>
      <c r="D33" s="159"/>
      <c r="E33" s="159"/>
      <c r="F33" s="159"/>
      <c r="G33" s="159"/>
      <c r="H33" s="159"/>
      <c r="I33" s="159"/>
      <c r="J33" s="159"/>
      <c r="K33" s="159"/>
      <c r="L33" s="159"/>
      <c r="M33" s="159"/>
      <c r="N33" s="159"/>
      <c r="O33" s="223"/>
    </row>
    <row r="34" spans="2:15" x14ac:dyDescent="0.25">
      <c r="B34" s="222"/>
      <c r="C34" s="159"/>
      <c r="D34" s="159"/>
      <c r="E34" s="159"/>
      <c r="F34" s="159"/>
      <c r="G34" s="159"/>
      <c r="H34" s="159"/>
      <c r="I34" s="159"/>
      <c r="J34" s="159"/>
      <c r="K34" s="159"/>
      <c r="L34" s="159"/>
      <c r="M34" s="159"/>
      <c r="N34" s="159"/>
      <c r="O34" s="223"/>
    </row>
    <row r="35" spans="2:15" x14ac:dyDescent="0.25">
      <c r="B35" s="222"/>
      <c r="C35" s="159"/>
      <c r="D35" s="159"/>
      <c r="E35" s="159"/>
      <c r="F35" s="159"/>
      <c r="G35" s="159"/>
      <c r="H35" s="159"/>
      <c r="I35" s="159"/>
      <c r="J35" s="159"/>
      <c r="K35" s="159"/>
      <c r="L35" s="159"/>
      <c r="M35" s="159"/>
      <c r="N35" s="159"/>
      <c r="O35" s="223"/>
    </row>
    <row r="36" spans="2:15" x14ac:dyDescent="0.25">
      <c r="B36" s="222"/>
      <c r="C36" s="159"/>
      <c r="D36" s="159"/>
      <c r="E36" s="159"/>
      <c r="F36" s="159"/>
      <c r="G36" s="159"/>
      <c r="H36" s="159"/>
      <c r="I36" s="159"/>
      <c r="J36" s="159"/>
      <c r="K36" s="159"/>
      <c r="L36" s="159"/>
      <c r="M36" s="159"/>
      <c r="N36" s="159"/>
      <c r="O36" s="223"/>
    </row>
    <row r="37" spans="2:15" ht="15.75" thickBot="1" x14ac:dyDescent="0.3">
      <c r="B37" s="224"/>
      <c r="C37" s="225"/>
      <c r="D37" s="225"/>
      <c r="E37" s="225"/>
      <c r="F37" s="225"/>
      <c r="G37" s="225"/>
      <c r="H37" s="225"/>
      <c r="I37" s="225"/>
      <c r="J37" s="225"/>
      <c r="K37" s="225"/>
      <c r="L37" s="225"/>
      <c r="M37" s="225"/>
      <c r="N37" s="225"/>
      <c r="O37" s="226"/>
    </row>
    <row r="38" spans="2:15" x14ac:dyDescent="0.25">
      <c r="B38" s="219"/>
      <c r="C38" s="220"/>
      <c r="D38" s="220"/>
      <c r="E38" s="220"/>
      <c r="F38" s="220"/>
      <c r="G38" s="220"/>
      <c r="H38" s="220"/>
      <c r="I38" s="220"/>
      <c r="J38" s="220"/>
      <c r="K38" s="220"/>
      <c r="L38" s="220"/>
      <c r="M38" s="220"/>
      <c r="N38" s="220"/>
      <c r="O38" s="221"/>
    </row>
    <row r="39" spans="2:15" x14ac:dyDescent="0.25">
      <c r="B39" s="222"/>
      <c r="C39" s="159"/>
      <c r="D39" s="159"/>
      <c r="E39" s="159"/>
      <c r="F39" s="159"/>
      <c r="G39" s="159"/>
      <c r="H39" s="159"/>
      <c r="I39" s="159"/>
      <c r="J39" s="159"/>
      <c r="K39" s="159"/>
      <c r="L39" s="159"/>
      <c r="M39" s="159"/>
      <c r="N39" s="159"/>
      <c r="O39" s="223"/>
    </row>
    <row r="40" spans="2:15" x14ac:dyDescent="0.25">
      <c r="B40" s="222"/>
      <c r="C40" s="159"/>
      <c r="D40" s="159"/>
      <c r="E40" s="159"/>
      <c r="F40" s="159"/>
      <c r="G40" s="159"/>
      <c r="H40" s="159"/>
      <c r="I40" s="159"/>
      <c r="J40" s="159"/>
      <c r="K40" s="159"/>
      <c r="L40" s="159"/>
      <c r="M40" s="159"/>
      <c r="N40" s="159"/>
      <c r="O40" s="223"/>
    </row>
    <row r="41" spans="2:15" x14ac:dyDescent="0.25">
      <c r="B41" s="222"/>
      <c r="C41" s="159"/>
      <c r="D41" s="159"/>
      <c r="E41" s="159"/>
      <c r="F41" s="159"/>
      <c r="G41" s="159"/>
      <c r="H41" s="159"/>
      <c r="I41" s="159"/>
      <c r="J41" s="159"/>
      <c r="K41" s="159"/>
      <c r="L41" s="159"/>
      <c r="M41" s="159"/>
      <c r="N41" s="159"/>
      <c r="O41" s="223"/>
    </row>
    <row r="42" spans="2:15" x14ac:dyDescent="0.25">
      <c r="B42" s="222"/>
      <c r="C42" s="159"/>
      <c r="D42" s="159"/>
      <c r="E42" s="159"/>
      <c r="F42" s="159"/>
      <c r="G42" s="159"/>
      <c r="H42" s="159"/>
      <c r="I42" s="159"/>
      <c r="J42" s="159"/>
      <c r="K42" s="159"/>
      <c r="L42" s="159"/>
      <c r="M42" s="159"/>
      <c r="N42" s="159"/>
      <c r="O42" s="223"/>
    </row>
    <row r="43" spans="2:15" x14ac:dyDescent="0.25">
      <c r="B43" s="222"/>
      <c r="C43" s="159"/>
      <c r="D43" s="159"/>
      <c r="E43" s="159"/>
      <c r="F43" s="159"/>
      <c r="G43" s="159"/>
      <c r="H43" s="159"/>
      <c r="I43" s="159"/>
      <c r="J43" s="159"/>
      <c r="K43" s="159"/>
      <c r="L43" s="159"/>
      <c r="M43" s="159"/>
      <c r="N43" s="159"/>
      <c r="O43" s="223"/>
    </row>
    <row r="44" spans="2:15" x14ac:dyDescent="0.25">
      <c r="B44" s="222"/>
      <c r="C44" s="159"/>
      <c r="D44" s="159"/>
      <c r="E44" s="159"/>
      <c r="F44" s="159"/>
      <c r="G44" s="159"/>
      <c r="H44" s="159"/>
      <c r="I44" s="159"/>
      <c r="J44" s="159"/>
      <c r="K44" s="159"/>
      <c r="L44" s="159"/>
      <c r="M44" s="159"/>
      <c r="N44" s="159"/>
      <c r="O44" s="223"/>
    </row>
    <row r="45" spans="2:15" x14ac:dyDescent="0.25">
      <c r="B45" s="222"/>
      <c r="C45" s="159"/>
      <c r="D45" s="159"/>
      <c r="E45" s="159"/>
      <c r="F45" s="159"/>
      <c r="G45" s="159"/>
      <c r="H45" s="159"/>
      <c r="I45" s="159"/>
      <c r="J45" s="159"/>
      <c r="K45" s="159"/>
      <c r="L45" s="159"/>
      <c r="M45" s="159"/>
      <c r="N45" s="159"/>
      <c r="O45" s="223"/>
    </row>
    <row r="46" spans="2:15" x14ac:dyDescent="0.25">
      <c r="B46" s="222"/>
      <c r="C46" s="159"/>
      <c r="D46" s="159"/>
      <c r="E46" s="159"/>
      <c r="F46" s="159"/>
      <c r="G46" s="159"/>
      <c r="H46" s="159"/>
      <c r="I46" s="159"/>
      <c r="J46" s="159"/>
      <c r="K46" s="159"/>
      <c r="L46" s="159"/>
      <c r="M46" s="159"/>
      <c r="N46" s="159"/>
      <c r="O46" s="223"/>
    </row>
    <row r="47" spans="2:15" x14ac:dyDescent="0.25">
      <c r="B47" s="222"/>
      <c r="C47" s="159"/>
      <c r="D47" s="159"/>
      <c r="E47" s="159"/>
      <c r="F47" s="159"/>
      <c r="G47" s="159"/>
      <c r="H47" s="159"/>
      <c r="I47" s="159"/>
      <c r="J47" s="159"/>
      <c r="K47" s="159"/>
      <c r="L47" s="159"/>
      <c r="M47" s="159"/>
      <c r="N47" s="159"/>
      <c r="O47" s="223"/>
    </row>
    <row r="48" spans="2:15" x14ac:dyDescent="0.25">
      <c r="B48" s="222"/>
      <c r="C48" s="159"/>
      <c r="D48" s="159"/>
      <c r="E48" s="159"/>
      <c r="F48" s="159"/>
      <c r="G48" s="159"/>
      <c r="H48" s="159"/>
      <c r="I48" s="159"/>
      <c r="J48" s="159"/>
      <c r="K48" s="159"/>
      <c r="L48" s="159"/>
      <c r="M48" s="159"/>
      <c r="N48" s="159"/>
      <c r="O48" s="223"/>
    </row>
    <row r="49" spans="2:15" x14ac:dyDescent="0.25">
      <c r="B49" s="222"/>
      <c r="C49" s="159"/>
      <c r="D49" s="159"/>
      <c r="E49" s="159"/>
      <c r="F49" s="159"/>
      <c r="G49" s="159"/>
      <c r="H49" s="159"/>
      <c r="I49" s="159"/>
      <c r="J49" s="159"/>
      <c r="K49" s="159"/>
      <c r="L49" s="159"/>
      <c r="M49" s="159"/>
      <c r="N49" s="159"/>
      <c r="O49" s="223"/>
    </row>
    <row r="50" spans="2:15" x14ac:dyDescent="0.25">
      <c r="B50" s="222"/>
      <c r="C50" s="159"/>
      <c r="D50" s="159"/>
      <c r="E50" s="159"/>
      <c r="F50" s="159"/>
      <c r="G50" s="159"/>
      <c r="H50" s="159"/>
      <c r="I50" s="159"/>
      <c r="J50" s="159"/>
      <c r="K50" s="159"/>
      <c r="L50" s="159"/>
      <c r="M50" s="159"/>
      <c r="N50" s="159"/>
      <c r="O50" s="223"/>
    </row>
    <row r="51" spans="2:15" ht="15.75" thickBot="1" x14ac:dyDescent="0.3">
      <c r="B51" s="224"/>
      <c r="C51" s="225"/>
      <c r="D51" s="225"/>
      <c r="E51" s="225"/>
      <c r="F51" s="225"/>
      <c r="G51" s="225"/>
      <c r="H51" s="225"/>
      <c r="I51" s="225"/>
      <c r="J51" s="225"/>
      <c r="K51" s="225"/>
      <c r="L51" s="225"/>
      <c r="M51" s="225"/>
      <c r="N51" s="225"/>
      <c r="O51" s="226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I27"/>
  <sheetViews>
    <sheetView workbookViewId="0">
      <selection activeCell="J30" sqref="J30"/>
    </sheetView>
  </sheetViews>
  <sheetFormatPr defaultRowHeight="15" x14ac:dyDescent="0.25"/>
  <cols>
    <col min="2" max="2" width="36.140625" bestFit="1" customWidth="1"/>
  </cols>
  <sheetData>
    <row r="1" spans="2:9" ht="18" thickBot="1" x14ac:dyDescent="0.35">
      <c r="B1" s="199" t="s">
        <v>404</v>
      </c>
    </row>
    <row r="2" spans="2:9" ht="16.5" thickTop="1" thickBot="1" x14ac:dyDescent="0.3">
      <c r="B2" s="212" t="s">
        <v>92</v>
      </c>
    </row>
    <row r="3" spans="2:9" x14ac:dyDescent="0.25">
      <c r="C3" s="12">
        <v>2017</v>
      </c>
      <c r="D3" s="12">
        <v>2018</v>
      </c>
      <c r="E3" s="12">
        <v>2019</v>
      </c>
    </row>
    <row r="4" spans="2:9" x14ac:dyDescent="0.25">
      <c r="B4" s="1" t="s">
        <v>93</v>
      </c>
      <c r="C4" s="16">
        <v>29870</v>
      </c>
      <c r="D4" s="16">
        <v>35865</v>
      </c>
      <c r="E4" s="16">
        <v>41160</v>
      </c>
    </row>
    <row r="5" spans="2:9" x14ac:dyDescent="0.25">
      <c r="B5" s="1" t="s">
        <v>94</v>
      </c>
      <c r="C5" s="16">
        <v>27407</v>
      </c>
      <c r="D5" s="16">
        <v>32219</v>
      </c>
      <c r="E5" s="16">
        <v>38985</v>
      </c>
    </row>
    <row r="6" spans="2:9" x14ac:dyDescent="0.25">
      <c r="B6" s="1" t="s">
        <v>95</v>
      </c>
      <c r="C6" s="16">
        <v>39294</v>
      </c>
      <c r="D6" s="16">
        <v>42276</v>
      </c>
      <c r="E6" s="16">
        <v>45698</v>
      </c>
    </row>
    <row r="9" spans="2:9" ht="15.75" thickBot="1" x14ac:dyDescent="0.3">
      <c r="B9" s="10">
        <v>2017</v>
      </c>
    </row>
    <row r="10" spans="2:9" x14ac:dyDescent="0.25">
      <c r="C10" s="12" t="s">
        <v>10</v>
      </c>
      <c r="D10" t="s">
        <v>405</v>
      </c>
    </row>
    <row r="11" spans="2:9" x14ac:dyDescent="0.25">
      <c r="B11" s="1" t="s">
        <v>93</v>
      </c>
      <c r="C11" s="16">
        <v>29870</v>
      </c>
      <c r="D11" s="126">
        <v>0.30930610638804612</v>
      </c>
    </row>
    <row r="12" spans="2:9" x14ac:dyDescent="0.25">
      <c r="B12" s="1" t="s">
        <v>94</v>
      </c>
      <c r="C12" s="16">
        <v>27407</v>
      </c>
      <c r="D12" s="126">
        <v>0.28380155533234613</v>
      </c>
    </row>
    <row r="13" spans="2:9" x14ac:dyDescent="0.25">
      <c r="B13" s="1" t="s">
        <v>95</v>
      </c>
      <c r="C13" s="16">
        <v>39294</v>
      </c>
      <c r="D13" s="126">
        <v>0.40689233827960775</v>
      </c>
    </row>
    <row r="16" spans="2:9" ht="15.75" thickBot="1" x14ac:dyDescent="0.3">
      <c r="C16" s="164">
        <v>2017</v>
      </c>
      <c r="D16" s="164">
        <v>2018</v>
      </c>
      <c r="E16" s="164">
        <v>2019</v>
      </c>
      <c r="F16" s="164">
        <v>2020</v>
      </c>
      <c r="G16" s="227" t="s">
        <v>406</v>
      </c>
      <c r="H16" s="227" t="s">
        <v>407</v>
      </c>
      <c r="I16" s="227" t="s">
        <v>408</v>
      </c>
    </row>
    <row r="17" spans="2:9" x14ac:dyDescent="0.25">
      <c r="B17" t="s">
        <v>409</v>
      </c>
      <c r="C17" s="135">
        <f>IS!B5</f>
        <v>62310</v>
      </c>
      <c r="D17" s="135">
        <f>IS!C5</f>
        <v>72007</v>
      </c>
      <c r="E17" s="135">
        <f>IS!D5</f>
        <v>82933</v>
      </c>
      <c r="F17" s="135">
        <f>IS!E5</f>
        <v>96937</v>
      </c>
      <c r="G17" s="135">
        <f>IS!F5</f>
        <v>105260.31855753568</v>
      </c>
      <c r="H17" s="135">
        <f>IS!G5</f>
        <v>114298.30366974314</v>
      </c>
      <c r="I17" s="135">
        <f>IS!H5</f>
        <v>124112.31887579677</v>
      </c>
    </row>
    <row r="18" spans="2:9" x14ac:dyDescent="0.25">
      <c r="B18" t="s">
        <v>124</v>
      </c>
      <c r="C18" s="11">
        <f>C17/IS!B3</f>
        <v>0.64522475691460168</v>
      </c>
      <c r="D18" s="11">
        <f>D17/IS!C3</f>
        <v>0.65247372236317502</v>
      </c>
      <c r="E18" s="11">
        <f>E17/IS!D3</f>
        <v>0.65901957200638894</v>
      </c>
      <c r="F18" s="11">
        <f>F17/IS!E3</f>
        <v>0.67781001992797962</v>
      </c>
      <c r="G18" s="11">
        <f>G17/IS!F3</f>
        <v>0.67781001992797962</v>
      </c>
      <c r="H18" s="11">
        <f>H17/IS!G3</f>
        <v>0.67781001992797962</v>
      </c>
      <c r="I18" s="11">
        <f>I17/IS!H3</f>
        <v>0.67781001992797951</v>
      </c>
    </row>
    <row r="21" spans="2:9" ht="15.75" thickBot="1" x14ac:dyDescent="0.3">
      <c r="C21" s="164">
        <v>2017</v>
      </c>
      <c r="D21" s="164">
        <v>2018</v>
      </c>
      <c r="E21" s="164">
        <v>2019</v>
      </c>
      <c r="F21" s="164">
        <v>2020</v>
      </c>
      <c r="G21" s="227" t="s">
        <v>406</v>
      </c>
      <c r="H21" s="227" t="s">
        <v>407</v>
      </c>
      <c r="I21" s="227" t="s">
        <v>408</v>
      </c>
    </row>
    <row r="22" spans="2:9" x14ac:dyDescent="0.25">
      <c r="B22" t="s">
        <v>410</v>
      </c>
      <c r="C22">
        <f>IS!B11</f>
        <v>29025</v>
      </c>
      <c r="D22">
        <f>IS!C11</f>
        <v>35058</v>
      </c>
      <c r="E22">
        <f>IS!D11</f>
        <v>42959</v>
      </c>
      <c r="F22">
        <f>IS!E11</f>
        <v>52959</v>
      </c>
      <c r="G22">
        <f>IS!F11</f>
        <v>57506.227864371001</v>
      </c>
      <c r="H22">
        <f>IS!G11</f>
        <v>62443.895148869131</v>
      </c>
      <c r="I22">
        <f>IS!H11</f>
        <v>67805.526221600841</v>
      </c>
    </row>
    <row r="23" spans="2:9" x14ac:dyDescent="0.25">
      <c r="B23" t="s">
        <v>411</v>
      </c>
      <c r="C23" s="11">
        <f>C22/IS!B3</f>
        <v>0.30055606755651282</v>
      </c>
      <c r="D23" s="11">
        <f>D22/IS!C3</f>
        <v>0.31766944545125048</v>
      </c>
      <c r="E23" s="11">
        <f>E22/IS!D3</f>
        <v>0.3413698020549415</v>
      </c>
      <c r="F23" s="11">
        <f>F22/IS!E3</f>
        <v>0.37030381428521486</v>
      </c>
      <c r="G23" s="11">
        <f>G22/IS!F3</f>
        <v>0.37030381428521481</v>
      </c>
      <c r="H23" s="11">
        <f>H22/IS!G3</f>
        <v>0.37030381428521486</v>
      </c>
      <c r="I23" s="11">
        <f>I22/IS!H3</f>
        <v>0.37030381428521481</v>
      </c>
    </row>
    <row r="25" spans="2:9" ht="15.75" thickBot="1" x14ac:dyDescent="0.3">
      <c r="C25" s="164">
        <v>2017</v>
      </c>
      <c r="D25" s="164">
        <v>2018</v>
      </c>
      <c r="E25" s="164">
        <v>2019</v>
      </c>
      <c r="F25" s="164">
        <v>2020</v>
      </c>
      <c r="G25" s="227" t="s">
        <v>406</v>
      </c>
      <c r="H25" s="227" t="s">
        <v>407</v>
      </c>
      <c r="I25" s="227" t="s">
        <v>408</v>
      </c>
    </row>
    <row r="26" spans="2:9" x14ac:dyDescent="0.25">
      <c r="B26" t="s">
        <v>412</v>
      </c>
      <c r="C26" s="135">
        <f>IS!B16</f>
        <v>25489</v>
      </c>
      <c r="D26" s="135">
        <f>IS!C16</f>
        <v>16571</v>
      </c>
      <c r="E26" s="135">
        <f>IS!D16</f>
        <v>39240</v>
      </c>
      <c r="F26" s="135">
        <f>IS!E16</f>
        <v>44281</v>
      </c>
      <c r="G26" s="135">
        <f>IS!F16</f>
        <v>45495.973069764848</v>
      </c>
      <c r="H26" s="135">
        <f>IS!G16</f>
        <v>49402.40174967776</v>
      </c>
      <c r="I26" s="135">
        <f>IS!H16</f>
        <v>53644.24879745028</v>
      </c>
    </row>
    <row r="27" spans="2:9" x14ac:dyDescent="0.25">
      <c r="B27" t="s">
        <v>130</v>
      </c>
      <c r="C27" s="11">
        <f>C26/IS!B3</f>
        <v>0.26394052044609667</v>
      </c>
      <c r="D27" s="11">
        <f>D26/IS!C3</f>
        <v>0.15015404131931859</v>
      </c>
      <c r="E27" s="11">
        <f>E26/IS!D3</f>
        <v>0.31181710544090652</v>
      </c>
      <c r="F27" s="11">
        <f>F26/IS!E3</f>
        <v>0.30962486452470023</v>
      </c>
      <c r="G27" s="11">
        <f>G26/IS!F3</f>
        <v>0.29296535328462048</v>
      </c>
      <c r="H27" s="11">
        <f>H26/IS!G3</f>
        <v>0.29296535328462053</v>
      </c>
      <c r="I27" s="11">
        <f>I26/IS!H3</f>
        <v>0.29296535328462042</v>
      </c>
    </row>
  </sheetData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28"/>
  <sheetViews>
    <sheetView showGridLines="0" workbookViewId="0">
      <pane ySplit="2" topLeftCell="A3" activePane="bottomLeft" state="frozen"/>
      <selection pane="bottomLeft" activeCell="D2" sqref="D2"/>
    </sheetView>
  </sheetViews>
  <sheetFormatPr defaultRowHeight="15" x14ac:dyDescent="0.25"/>
  <cols>
    <col min="1" max="1" width="35.7109375" bestFit="1" customWidth="1"/>
    <col min="2" max="3" width="12" bestFit="1" customWidth="1"/>
    <col min="4" max="4" width="16.28515625" bestFit="1" customWidth="1"/>
    <col min="5" max="5" width="10.85546875" customWidth="1"/>
    <col min="6" max="6" width="10.140625" customWidth="1"/>
    <col min="7" max="8" width="11.5703125" bestFit="1" customWidth="1"/>
    <col min="9" max="9" width="10.28515625" customWidth="1"/>
  </cols>
  <sheetData>
    <row r="1" spans="1:8" x14ac:dyDescent="0.25">
      <c r="A1" s="3" t="s">
        <v>9</v>
      </c>
      <c r="B1" s="3"/>
      <c r="C1" s="3"/>
    </row>
    <row r="2" spans="1:8" ht="15.75" thickBot="1" x14ac:dyDescent="0.3">
      <c r="B2" s="164">
        <v>2017</v>
      </c>
      <c r="C2" s="164">
        <v>2018</v>
      </c>
      <c r="D2" s="164">
        <v>2019</v>
      </c>
      <c r="E2" s="164">
        <v>2020</v>
      </c>
      <c r="F2" s="227" t="s">
        <v>406</v>
      </c>
      <c r="G2" s="227" t="s">
        <v>407</v>
      </c>
      <c r="H2" s="227" t="s">
        <v>408</v>
      </c>
    </row>
    <row r="3" spans="1:8" x14ac:dyDescent="0.25">
      <c r="A3" s="1" t="s">
        <v>10</v>
      </c>
      <c r="B3">
        <v>96571</v>
      </c>
      <c r="C3">
        <v>110360</v>
      </c>
      <c r="D3">
        <v>125843</v>
      </c>
      <c r="E3">
        <v>143015</v>
      </c>
      <c r="F3" s="135">
        <f>'Sales Projection'!M2</f>
        <v>155294.72191738928</v>
      </c>
      <c r="G3" s="135">
        <f>'Sales Projection'!N2</f>
        <v>168628.81974198</v>
      </c>
      <c r="H3" s="135">
        <f>'Sales Projection'!O2</f>
        <v>183107.82553640072</v>
      </c>
    </row>
    <row r="4" spans="1:8" x14ac:dyDescent="0.25">
      <c r="A4" s="1" t="s">
        <v>11</v>
      </c>
      <c r="B4">
        <v>34261</v>
      </c>
      <c r="C4">
        <v>38353</v>
      </c>
      <c r="D4">
        <v>42910</v>
      </c>
      <c r="E4">
        <v>46078</v>
      </c>
      <c r="F4" s="135">
        <f>F3*CS_1!F4</f>
        <v>50034.403359853604</v>
      </c>
      <c r="G4" s="135">
        <f>G3*CS_1!G4</f>
        <v>54330.51607223686</v>
      </c>
      <c r="H4" s="135">
        <f>H3*CS_1!H4</f>
        <v>58995.50666060394</v>
      </c>
    </row>
    <row r="5" spans="1:8" ht="15.75" thickBot="1" x14ac:dyDescent="0.3">
      <c r="A5" s="2" t="s">
        <v>0</v>
      </c>
      <c r="B5" s="2">
        <f t="shared" ref="B5:H5" si="0">B3-B4</f>
        <v>62310</v>
      </c>
      <c r="C5" s="2">
        <f t="shared" si="0"/>
        <v>72007</v>
      </c>
      <c r="D5" s="2">
        <f t="shared" si="0"/>
        <v>82933</v>
      </c>
      <c r="E5" s="2">
        <f t="shared" si="0"/>
        <v>96937</v>
      </c>
      <c r="F5" s="136">
        <f t="shared" si="0"/>
        <v>105260.31855753568</v>
      </c>
      <c r="G5" s="136">
        <f t="shared" si="0"/>
        <v>114298.30366974314</v>
      </c>
      <c r="H5" s="136">
        <f t="shared" si="0"/>
        <v>124112.31887579677</v>
      </c>
    </row>
    <row r="6" spans="1:8" ht="15.75" thickTop="1" x14ac:dyDescent="0.25">
      <c r="A6" s="1" t="s">
        <v>1</v>
      </c>
      <c r="B6">
        <v>13037</v>
      </c>
      <c r="C6">
        <v>14726</v>
      </c>
      <c r="D6">
        <v>16876</v>
      </c>
      <c r="E6">
        <v>19269</v>
      </c>
      <c r="F6" s="135">
        <f>F3*CS_1!F5</f>
        <v>20923.497511632864</v>
      </c>
      <c r="G6" s="135">
        <f>G3*CS_1!G5</f>
        <v>22720.055432005123</v>
      </c>
      <c r="H6" s="135">
        <f>H3*CS_1!H5</f>
        <v>24670.871518798067</v>
      </c>
    </row>
    <row r="7" spans="1:8" x14ac:dyDescent="0.25">
      <c r="A7" s="1" t="s">
        <v>12</v>
      </c>
      <c r="B7">
        <v>15461</v>
      </c>
      <c r="C7">
        <v>17469</v>
      </c>
      <c r="D7">
        <v>18213</v>
      </c>
      <c r="E7">
        <v>19598</v>
      </c>
      <c r="F7" s="135">
        <f>F3*CS_1!F6</f>
        <v>21280.746496080799</v>
      </c>
      <c r="G7" s="135">
        <f>G3*CS_1!G6</f>
        <v>23107.978948385302</v>
      </c>
      <c r="H7" s="135">
        <f>H3*CS_1!H6</f>
        <v>25092.103379801989</v>
      </c>
    </row>
    <row r="8" spans="1:8" x14ac:dyDescent="0.25">
      <c r="A8" s="1" t="s">
        <v>5</v>
      </c>
      <c r="B8">
        <v>4481</v>
      </c>
      <c r="C8">
        <v>4754</v>
      </c>
      <c r="D8">
        <v>4885</v>
      </c>
      <c r="E8">
        <v>5111</v>
      </c>
      <c r="F8" s="135">
        <f>F3*CS_1!F7</f>
        <v>5549.8466854510125</v>
      </c>
      <c r="G8" s="135">
        <f>G3*CS_1!G7</f>
        <v>6026.3741404835837</v>
      </c>
      <c r="H8" s="135">
        <f>H3*CS_1!H7</f>
        <v>6543.8177555958746</v>
      </c>
    </row>
    <row r="9" spans="1:8" x14ac:dyDescent="0.25">
      <c r="A9" s="1" t="s">
        <v>13</v>
      </c>
      <c r="B9">
        <v>306</v>
      </c>
      <c r="C9">
        <v>0</v>
      </c>
      <c r="D9">
        <v>0</v>
      </c>
      <c r="E9">
        <v>0</v>
      </c>
      <c r="F9" s="135">
        <f>F3*CS_1!F8</f>
        <v>0</v>
      </c>
      <c r="G9" s="135">
        <f>G3*CS_1!G8</f>
        <v>0</v>
      </c>
      <c r="H9" s="135">
        <f>H3*CS_1!H8</f>
        <v>0</v>
      </c>
    </row>
    <row r="10" spans="1:8" ht="15.75" thickBot="1" x14ac:dyDescent="0.3">
      <c r="A10" s="4" t="s">
        <v>16</v>
      </c>
      <c r="B10" s="2">
        <f t="shared" ref="B10:H10" si="1">SUM(B6:B9)</f>
        <v>33285</v>
      </c>
      <c r="C10" s="2">
        <f t="shared" si="1"/>
        <v>36949</v>
      </c>
      <c r="D10" s="2">
        <f t="shared" si="1"/>
        <v>39974</v>
      </c>
      <c r="E10" s="2">
        <f t="shared" si="1"/>
        <v>43978</v>
      </c>
      <c r="F10" s="136">
        <f t="shared" si="1"/>
        <v>47754.090693164675</v>
      </c>
      <c r="G10" s="136">
        <f t="shared" si="1"/>
        <v>51854.408520874007</v>
      </c>
      <c r="H10" s="136">
        <f t="shared" si="1"/>
        <v>56306.792654195931</v>
      </c>
    </row>
    <row r="11" spans="1:8" ht="16.5" thickTop="1" thickBot="1" x14ac:dyDescent="0.3">
      <c r="A11" s="2" t="s">
        <v>332</v>
      </c>
      <c r="B11" s="2">
        <f t="shared" ref="B11:H11" si="2">B5-B10</f>
        <v>29025</v>
      </c>
      <c r="C11" s="2">
        <f t="shared" si="2"/>
        <v>35058</v>
      </c>
      <c r="D11" s="2">
        <f t="shared" si="2"/>
        <v>42959</v>
      </c>
      <c r="E11" s="2">
        <f t="shared" si="2"/>
        <v>52959</v>
      </c>
      <c r="F11" s="136">
        <f t="shared" si="2"/>
        <v>57506.227864371001</v>
      </c>
      <c r="G11" s="136">
        <f t="shared" si="2"/>
        <v>62443.895148869131</v>
      </c>
      <c r="H11" s="136">
        <f t="shared" si="2"/>
        <v>67805.526221600841</v>
      </c>
    </row>
    <row r="12" spans="1:8" ht="16.5" thickTop="1" thickBot="1" x14ac:dyDescent="0.3">
      <c r="A12" s="228" t="s">
        <v>421</v>
      </c>
      <c r="B12" s="240">
        <v>-2222</v>
      </c>
      <c r="C12" s="240">
        <v>-2733</v>
      </c>
      <c r="D12" s="240">
        <v>-2686</v>
      </c>
      <c r="E12" s="240">
        <v>-2591</v>
      </c>
      <c r="F12" s="241">
        <f>CS_1!F86</f>
        <v>-2813.4714854242952</v>
      </c>
      <c r="G12" s="241">
        <f>CS_1!G86</f>
        <v>-3055.0450788481635</v>
      </c>
      <c r="H12" s="241">
        <f>CS_1!H86</f>
        <v>-3317.3609479062629</v>
      </c>
    </row>
    <row r="13" spans="1:8" ht="15.75" thickTop="1" x14ac:dyDescent="0.25">
      <c r="A13" s="1" t="s">
        <v>14</v>
      </c>
      <c r="B13">
        <v>3098</v>
      </c>
      <c r="C13">
        <v>4149</v>
      </c>
      <c r="D13">
        <v>3415</v>
      </c>
      <c r="E13">
        <v>2668</v>
      </c>
      <c r="F13" s="135">
        <f>F3*CS_1!F9</f>
        <v>2897.0829498695566</v>
      </c>
      <c r="G13" s="135">
        <f>G3*CS_1!G9</f>
        <v>3145.835689064802</v>
      </c>
      <c r="H13" s="135">
        <f>H3*CS_1!H9</f>
        <v>3415.9471281412239</v>
      </c>
    </row>
    <row r="14" spans="1:8" ht="15.75" thickBot="1" x14ac:dyDescent="0.3">
      <c r="A14" s="2" t="s">
        <v>6</v>
      </c>
      <c r="B14" s="2">
        <f t="shared" ref="B14:H14" si="3">SUM(B11:B13)</f>
        <v>29901</v>
      </c>
      <c r="C14" s="2">
        <f t="shared" si="3"/>
        <v>36474</v>
      </c>
      <c r="D14" s="2">
        <f t="shared" si="3"/>
        <v>43688</v>
      </c>
      <c r="E14" s="2">
        <f t="shared" si="3"/>
        <v>53036</v>
      </c>
      <c r="F14" s="136">
        <f t="shared" si="3"/>
        <v>57589.839328816262</v>
      </c>
      <c r="G14" s="136">
        <f t="shared" si="3"/>
        <v>62534.685759085769</v>
      </c>
      <c r="H14" s="136">
        <f t="shared" si="3"/>
        <v>67904.112401835795</v>
      </c>
    </row>
    <row r="15" spans="1:8" ht="15.75" thickTop="1" x14ac:dyDescent="0.25">
      <c r="A15" s="1" t="s">
        <v>2</v>
      </c>
      <c r="B15">
        <v>4412</v>
      </c>
      <c r="C15">
        <v>19903</v>
      </c>
      <c r="D15">
        <v>4448</v>
      </c>
      <c r="E15">
        <v>8755</v>
      </c>
      <c r="F15" s="135">
        <f>F14*CS_1!F13</f>
        <v>12093.866259051414</v>
      </c>
      <c r="G15" s="135">
        <f>G14*CS_1!G13</f>
        <v>13132.284009408011</v>
      </c>
      <c r="H15" s="135">
        <f>H14*CS_1!H13</f>
        <v>14259.863604385517</v>
      </c>
    </row>
    <row r="16" spans="1:8" ht="15.75" thickBot="1" x14ac:dyDescent="0.3">
      <c r="A16" s="2" t="s">
        <v>3</v>
      </c>
      <c r="B16" s="2">
        <f t="shared" ref="B16:H16" si="4">B14-B15</f>
        <v>25489</v>
      </c>
      <c r="C16" s="2">
        <f t="shared" si="4"/>
        <v>16571</v>
      </c>
      <c r="D16" s="2">
        <f t="shared" si="4"/>
        <v>39240</v>
      </c>
      <c r="E16" s="2">
        <f t="shared" si="4"/>
        <v>44281</v>
      </c>
      <c r="F16" s="136">
        <f t="shared" si="4"/>
        <v>45495.973069764848</v>
      </c>
      <c r="G16" s="136">
        <f t="shared" si="4"/>
        <v>49402.40174967776</v>
      </c>
      <c r="H16" s="136">
        <f t="shared" si="4"/>
        <v>53644.24879745028</v>
      </c>
    </row>
    <row r="17" spans="1:11" ht="16.5" thickTop="1" thickBot="1" x14ac:dyDescent="0.3">
      <c r="A17" s="228" t="s">
        <v>415</v>
      </c>
      <c r="B17" s="240">
        <f>-CS_1!B71</f>
        <v>12040</v>
      </c>
      <c r="C17" s="240">
        <f>-CS_1!C71</f>
        <v>12917</v>
      </c>
      <c r="D17" s="240">
        <f>-CS_1!D71</f>
        <v>14103</v>
      </c>
      <c r="E17" s="240">
        <f>-CS_1!E71</f>
        <v>15483</v>
      </c>
      <c r="F17" s="241">
        <f>E17</f>
        <v>15483</v>
      </c>
      <c r="G17" s="241">
        <f>F17</f>
        <v>15483</v>
      </c>
      <c r="H17" s="241">
        <f>G17</f>
        <v>15483</v>
      </c>
      <c r="I17" s="14">
        <f>C17/B17-1</f>
        <v>7.2840531561461752E-2</v>
      </c>
      <c r="J17" s="14">
        <f>D17/C17-1</f>
        <v>9.1816985368119441E-2</v>
      </c>
      <c r="K17" s="14">
        <f>E17/D17-1</f>
        <v>9.7851520952988658E-2</v>
      </c>
    </row>
    <row r="18" spans="1:11" ht="16.5" thickTop="1" thickBot="1" x14ac:dyDescent="0.3">
      <c r="A18" s="4" t="s">
        <v>416</v>
      </c>
      <c r="B18" s="2">
        <f>B16-B17</f>
        <v>13449</v>
      </c>
      <c r="C18" s="2">
        <f t="shared" ref="C18:H18" si="5">C16-C17</f>
        <v>3654</v>
      </c>
      <c r="D18" s="2">
        <f t="shared" si="5"/>
        <v>25137</v>
      </c>
      <c r="E18" s="136">
        <f t="shared" si="5"/>
        <v>28798</v>
      </c>
      <c r="F18" s="136">
        <f t="shared" si="5"/>
        <v>30012.973069764848</v>
      </c>
      <c r="G18" s="136">
        <f t="shared" si="5"/>
        <v>33919.40174967776</v>
      </c>
      <c r="H18" s="136">
        <f t="shared" si="5"/>
        <v>38161.24879745028</v>
      </c>
    </row>
    <row r="19" spans="1:11" ht="16.5" thickTop="1" thickBot="1" x14ac:dyDescent="0.3">
      <c r="A19" s="5" t="s">
        <v>4</v>
      </c>
    </row>
    <row r="20" spans="1:11" ht="15.75" thickBot="1" x14ac:dyDescent="0.3">
      <c r="A20" s="4" t="s">
        <v>7</v>
      </c>
      <c r="B20" s="6">
        <f t="shared" ref="B20:H20" si="6">B16/B23</f>
        <v>3.2906016008262329</v>
      </c>
      <c r="C20" s="6">
        <f t="shared" si="6"/>
        <v>2.1520779220779223</v>
      </c>
      <c r="D20" s="6">
        <f t="shared" si="6"/>
        <v>5.114036230939659</v>
      </c>
      <c r="E20" s="6">
        <f t="shared" si="6"/>
        <v>5.8187910643889618</v>
      </c>
      <c r="F20" s="6">
        <f t="shared" si="6"/>
        <v>6.0032572728186882</v>
      </c>
      <c r="G20" s="6">
        <f t="shared" si="6"/>
        <v>6.5463776100036686</v>
      </c>
      <c r="H20" s="6">
        <f t="shared" si="6"/>
        <v>7.1004094386002121</v>
      </c>
    </row>
    <row r="21" spans="1:11" ht="16.5" thickTop="1" thickBot="1" x14ac:dyDescent="0.3">
      <c r="A21" s="4" t="s">
        <v>8</v>
      </c>
      <c r="B21" s="6">
        <f t="shared" ref="B21:H21" si="7">B16/B24</f>
        <v>3.2544688457609805</v>
      </c>
      <c r="C21" s="6">
        <f t="shared" si="7"/>
        <v>2.126122658455222</v>
      </c>
      <c r="D21" s="6">
        <f t="shared" si="7"/>
        <v>5.0612666064749128</v>
      </c>
      <c r="E21" s="6">
        <f t="shared" si="7"/>
        <v>5.7635038396459715</v>
      </c>
      <c r="F21" s="6">
        <f t="shared" si="7"/>
        <v>5.921641685508896</v>
      </c>
      <c r="G21" s="6">
        <f t="shared" si="7"/>
        <v>6.4300926395519662</v>
      </c>
      <c r="H21" s="6">
        <f t="shared" si="7"/>
        <v>6.9822008066445767</v>
      </c>
    </row>
    <row r="22" spans="1:11" ht="16.5" thickTop="1" thickBot="1" x14ac:dyDescent="0.3">
      <c r="A22" s="5" t="s">
        <v>15</v>
      </c>
    </row>
    <row r="23" spans="1:11" x14ac:dyDescent="0.25">
      <c r="A23" s="1" t="s">
        <v>7</v>
      </c>
      <c r="B23">
        <v>7746</v>
      </c>
      <c r="C23">
        <v>7700</v>
      </c>
      <c r="D23">
        <v>7673</v>
      </c>
      <c r="E23">
        <v>7610</v>
      </c>
      <c r="F23" s="135">
        <f>E23-F28</f>
        <v>7578.5479452562731</v>
      </c>
      <c r="G23" s="135">
        <f>F23-G28</f>
        <v>7546.5249169532817</v>
      </c>
      <c r="H23" s="135">
        <f>G23-H28</f>
        <v>7555.0923170461292</v>
      </c>
      <c r="I23" s="233">
        <f>C23/B23-1</f>
        <v>-5.9385489284792259E-3</v>
      </c>
      <c r="J23" s="233">
        <f>D23/C23-1</f>
        <v>-3.5064935064934577E-3</v>
      </c>
      <c r="K23" s="233">
        <f>E23/D23-1</f>
        <v>-8.2106086276554358E-3</v>
      </c>
    </row>
    <row r="24" spans="1:11" x14ac:dyDescent="0.25">
      <c r="A24" s="1" t="s">
        <v>8</v>
      </c>
      <c r="B24">
        <v>7832</v>
      </c>
      <c r="C24">
        <v>7794</v>
      </c>
      <c r="D24">
        <v>7753</v>
      </c>
      <c r="E24">
        <v>7683</v>
      </c>
      <c r="F24">
        <f>E24</f>
        <v>7683</v>
      </c>
      <c r="G24">
        <f>F24</f>
        <v>7683</v>
      </c>
      <c r="H24">
        <f>G24</f>
        <v>7683</v>
      </c>
    </row>
    <row r="26" spans="1:11" x14ac:dyDescent="0.25">
      <c r="A26" t="s">
        <v>383</v>
      </c>
      <c r="F26">
        <f>-CS_1!F72</f>
        <v>5425.119996355812</v>
      </c>
      <c r="G26">
        <f>-CS_1!G72</f>
        <v>5523.6064100097901</v>
      </c>
      <c r="H26">
        <f>-CS_1!H72</f>
        <v>-1477.7786042661683</v>
      </c>
    </row>
    <row r="27" spans="1:11" x14ac:dyDescent="0.25">
      <c r="A27" t="s">
        <v>384</v>
      </c>
      <c r="F27" s="135">
        <f>AVERAGE(Beta!B2:B253)</f>
        <v>172.48857159126979</v>
      </c>
      <c r="G27" s="135">
        <f>F27</f>
        <v>172.48857159126979</v>
      </c>
      <c r="H27" s="135">
        <f>G27</f>
        <v>172.48857159126979</v>
      </c>
    </row>
    <row r="28" spans="1:11" x14ac:dyDescent="0.25">
      <c r="F28" s="135">
        <f>F26/F27</f>
        <v>31.452054743726542</v>
      </c>
      <c r="G28" s="135">
        <f>G26/G27</f>
        <v>32.023028302991399</v>
      </c>
      <c r="H28" s="135">
        <f>H26/H27</f>
        <v>-8.5674000928474463</v>
      </c>
    </row>
  </sheetData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L41"/>
  <sheetViews>
    <sheetView tabSelected="1" workbookViewId="0">
      <pane ySplit="2" topLeftCell="A31" activePane="bottomLeft" state="frozen"/>
      <selection pane="bottomLeft" activeCell="I40" sqref="I40"/>
    </sheetView>
  </sheetViews>
  <sheetFormatPr defaultRowHeight="15" x14ac:dyDescent="0.25"/>
  <cols>
    <col min="1" max="1" width="68.140625" customWidth="1"/>
    <col min="2" max="2" width="12.140625" customWidth="1"/>
    <col min="3" max="4" width="12" bestFit="1" customWidth="1"/>
    <col min="5" max="5" width="12" customWidth="1"/>
    <col min="6" max="6" width="9.5703125" style="155" hidden="1" customWidth="1"/>
    <col min="7" max="8" width="9.5703125" bestFit="1" customWidth="1"/>
  </cols>
  <sheetData>
    <row r="1" spans="1:12" x14ac:dyDescent="0.25">
      <c r="K1" s="259"/>
      <c r="L1" s="259"/>
    </row>
    <row r="2" spans="1:12" x14ac:dyDescent="0.25">
      <c r="A2" s="7" t="s">
        <v>29</v>
      </c>
      <c r="B2" s="7">
        <v>2017</v>
      </c>
      <c r="C2" s="7">
        <v>2018</v>
      </c>
      <c r="D2" s="7">
        <v>2019</v>
      </c>
      <c r="E2" s="7">
        <v>2020</v>
      </c>
      <c r="F2" s="155">
        <f>D2+1</f>
        <v>2020</v>
      </c>
      <c r="G2" s="7">
        <f>F2+1</f>
        <v>2021</v>
      </c>
      <c r="H2" s="7">
        <f>G2+1</f>
        <v>2022</v>
      </c>
      <c r="I2" s="7">
        <v>2023</v>
      </c>
      <c r="K2" s="259"/>
      <c r="L2" s="259"/>
    </row>
    <row r="3" spans="1:12" ht="15.75" thickBot="1" x14ac:dyDescent="0.3">
      <c r="A3" s="5" t="s">
        <v>17</v>
      </c>
    </row>
    <row r="4" spans="1:12" x14ac:dyDescent="0.25">
      <c r="A4" s="1" t="s">
        <v>18</v>
      </c>
      <c r="B4">
        <v>7663</v>
      </c>
      <c r="C4">
        <v>11946</v>
      </c>
      <c r="D4">
        <v>11356</v>
      </c>
      <c r="E4">
        <v>13576</v>
      </c>
      <c r="G4" s="135">
        <f>CFS!F43</f>
        <v>26435.982730158488</v>
      </c>
      <c r="H4" s="135">
        <f>CFS!G43</f>
        <v>47568.099132043397</v>
      </c>
      <c r="I4" s="135">
        <f>CFS!H43</f>
        <v>73848.581478405744</v>
      </c>
    </row>
    <row r="5" spans="1:12" x14ac:dyDescent="0.25">
      <c r="A5" s="1" t="s">
        <v>30</v>
      </c>
      <c r="B5">
        <v>125318</v>
      </c>
      <c r="C5">
        <v>121822</v>
      </c>
      <c r="D5">
        <v>122463</v>
      </c>
      <c r="E5">
        <v>122951</v>
      </c>
      <c r="F5" s="156">
        <f>IS!E3*CS_1!E26</f>
        <v>122951</v>
      </c>
      <c r="G5" s="135">
        <f>IS!F3*CS_1!F26</f>
        <v>133507.96318193845</v>
      </c>
      <c r="H5" s="135">
        <f>IS!G3*CS_1!G26</f>
        <v>144971.38073695893</v>
      </c>
      <c r="I5" s="135">
        <f>IS!H3*CS_1!H26</f>
        <v>157419.08371517676</v>
      </c>
    </row>
    <row r="6" spans="1:12" ht="15.75" thickBot="1" x14ac:dyDescent="0.3">
      <c r="A6" s="4" t="s">
        <v>31</v>
      </c>
      <c r="B6" s="2">
        <f t="shared" ref="B6:I6" si="0">SUM(B4:B5)</f>
        <v>132981</v>
      </c>
      <c r="C6" s="2">
        <f t="shared" si="0"/>
        <v>133768</v>
      </c>
      <c r="D6" s="2">
        <f t="shared" si="0"/>
        <v>133819</v>
      </c>
      <c r="E6" s="2">
        <f t="shared" si="0"/>
        <v>136527</v>
      </c>
      <c r="F6" s="157">
        <f t="shared" si="0"/>
        <v>122951</v>
      </c>
      <c r="G6" s="136">
        <f t="shared" si="0"/>
        <v>159943.94591209694</v>
      </c>
      <c r="H6" s="136">
        <f t="shared" si="0"/>
        <v>192539.47986900233</v>
      </c>
      <c r="I6" s="136">
        <f t="shared" si="0"/>
        <v>231267.66519358251</v>
      </c>
    </row>
    <row r="7" spans="1:12" ht="30.75" thickTop="1" x14ac:dyDescent="0.25">
      <c r="A7" s="8" t="s">
        <v>32</v>
      </c>
      <c r="B7">
        <v>22431</v>
      </c>
      <c r="C7">
        <v>26481</v>
      </c>
      <c r="D7">
        <v>29524</v>
      </c>
      <c r="E7">
        <v>32011</v>
      </c>
      <c r="F7" s="156">
        <f>CS_1!E21</f>
        <v>32011</v>
      </c>
      <c r="G7" s="135">
        <f>CS_1!F21</f>
        <v>34807.590449858748</v>
      </c>
      <c r="H7" s="135">
        <f>CS_1!G21</f>
        <v>37748.256299242668</v>
      </c>
      <c r="I7" s="135">
        <f>CS_1!H21</f>
        <v>41037.465788527275</v>
      </c>
    </row>
    <row r="8" spans="1:12" x14ac:dyDescent="0.25">
      <c r="A8" s="1" t="s">
        <v>19</v>
      </c>
      <c r="B8">
        <v>2181</v>
      </c>
      <c r="C8">
        <v>2662</v>
      </c>
      <c r="D8">
        <v>2063</v>
      </c>
      <c r="E8">
        <v>1895</v>
      </c>
      <c r="F8" s="156">
        <f>CS_1!E23</f>
        <v>1895</v>
      </c>
      <c r="G8" s="135">
        <f>CS_1!F23</f>
        <v>2402.8464451213285</v>
      </c>
      <c r="H8" s="135">
        <f>CS_1!G23</f>
        <v>2264.0267397806529</v>
      </c>
      <c r="I8" s="135">
        <f>CS_1!H23</f>
        <v>2803.5589922969202</v>
      </c>
    </row>
    <row r="9" spans="1:12" x14ac:dyDescent="0.25">
      <c r="A9" s="1" t="s">
        <v>33</v>
      </c>
      <c r="B9">
        <v>5103</v>
      </c>
      <c r="C9">
        <v>6751</v>
      </c>
      <c r="D9">
        <v>10146</v>
      </c>
      <c r="E9">
        <v>11482</v>
      </c>
      <c r="F9" s="156">
        <f>IS!E3*CS_1!E27</f>
        <v>11482.000000000002</v>
      </c>
      <c r="G9" s="135">
        <f>IS!F3*CS_1!F27</f>
        <v>12467.880970915385</v>
      </c>
      <c r="H9" s="135">
        <f>IS!G3*CS_1!G27</f>
        <v>13538.41281178488</v>
      </c>
      <c r="I9" s="135">
        <f>IS!H3*CS_1!H27</f>
        <v>14700.863915036558</v>
      </c>
    </row>
    <row r="10" spans="1:12" ht="15.75" thickBot="1" x14ac:dyDescent="0.3">
      <c r="A10" s="2" t="s">
        <v>21</v>
      </c>
      <c r="B10" s="2">
        <f t="shared" ref="B10:I10" si="1">SUM(B6:B9)</f>
        <v>162696</v>
      </c>
      <c r="C10" s="2">
        <f t="shared" si="1"/>
        <v>169662</v>
      </c>
      <c r="D10" s="2">
        <f t="shared" si="1"/>
        <v>175552</v>
      </c>
      <c r="E10" s="2">
        <f t="shared" si="1"/>
        <v>181915</v>
      </c>
      <c r="F10" s="157">
        <f t="shared" si="1"/>
        <v>168339</v>
      </c>
      <c r="G10" s="136">
        <f t="shared" si="1"/>
        <v>209622.2637779924</v>
      </c>
      <c r="H10" s="136">
        <f t="shared" si="1"/>
        <v>246090.17571981053</v>
      </c>
      <c r="I10" s="136">
        <f t="shared" si="1"/>
        <v>289809.55388944328</v>
      </c>
    </row>
    <row r="11" spans="1:12" ht="30.75" thickTop="1" x14ac:dyDescent="0.25">
      <c r="A11" s="8" t="s">
        <v>34</v>
      </c>
      <c r="B11">
        <v>23734</v>
      </c>
      <c r="C11">
        <v>29460</v>
      </c>
      <c r="D11">
        <v>36477</v>
      </c>
      <c r="E11">
        <v>44151</v>
      </c>
      <c r="F11" s="156">
        <f>IS!E$3*CS_1!E35</f>
        <v>44151</v>
      </c>
      <c r="G11" s="135">
        <f>IS!F$3*CS_1!F35</f>
        <v>47941.945022372856</v>
      </c>
      <c r="H11" s="135">
        <f>IS!G$3*CS_1!G35</f>
        <v>52058.392619152954</v>
      </c>
      <c r="I11" s="135">
        <f>IS!H$3*CS_1!H35</f>
        <v>56528.291474723832</v>
      </c>
    </row>
    <row r="12" spans="1:12" x14ac:dyDescent="0.25">
      <c r="A12" s="1" t="s">
        <v>35</v>
      </c>
      <c r="B12">
        <v>6555</v>
      </c>
      <c r="C12">
        <v>6686</v>
      </c>
      <c r="D12">
        <v>7379</v>
      </c>
      <c r="E12">
        <v>8753</v>
      </c>
      <c r="F12" s="156">
        <f>IS!E$3*CS_1!E36</f>
        <v>8753</v>
      </c>
      <c r="G12" s="135">
        <f>IS!F$3*CS_1!F36</f>
        <v>9504.5603673943879</v>
      </c>
      <c r="H12" s="135">
        <f>IS!G$3*CS_1!G36</f>
        <v>10320.652093847157</v>
      </c>
      <c r="I12" s="135">
        <f>IS!H$3*CS_1!H36</f>
        <v>11206.816046709195</v>
      </c>
    </row>
    <row r="13" spans="1:12" x14ac:dyDescent="0.25">
      <c r="A13" s="1" t="s">
        <v>36</v>
      </c>
      <c r="B13">
        <v>6023</v>
      </c>
      <c r="C13">
        <v>1862</v>
      </c>
      <c r="D13">
        <v>2649</v>
      </c>
      <c r="E13">
        <v>2965</v>
      </c>
      <c r="F13" s="156">
        <f>IS!E$3*CS_1!E37</f>
        <v>2965</v>
      </c>
      <c r="G13" s="135">
        <f>IS!F$3*CS_1!F37</f>
        <v>3219.5843127298481</v>
      </c>
      <c r="H13" s="135">
        <f>IS!G$3*CS_1!G37</f>
        <v>3496.0280427575481</v>
      </c>
      <c r="I13" s="135">
        <f>IS!H$3*CS_1!H37</f>
        <v>3796.2081090474994</v>
      </c>
    </row>
    <row r="14" spans="1:12" x14ac:dyDescent="0.25">
      <c r="A14" s="1" t="s">
        <v>37</v>
      </c>
      <c r="B14">
        <v>35122</v>
      </c>
      <c r="C14">
        <v>35683</v>
      </c>
      <c r="D14">
        <v>42026</v>
      </c>
      <c r="E14">
        <v>43351</v>
      </c>
      <c r="F14" s="156">
        <f>IS!E$3*CS_1!E38</f>
        <v>43351</v>
      </c>
      <c r="G14" s="135">
        <f>IS!F$3*CS_1!F38</f>
        <v>47073.254482681834</v>
      </c>
      <c r="H14" s="135">
        <f>IS!G$3*CS_1!G38</f>
        <v>51115.113551967101</v>
      </c>
      <c r="I14" s="135">
        <f>IS!H$3*CS_1!H38</f>
        <v>55504.019472282678</v>
      </c>
    </row>
    <row r="15" spans="1:12" x14ac:dyDescent="0.25">
      <c r="A15" s="1" t="s">
        <v>38</v>
      </c>
      <c r="B15">
        <v>10106</v>
      </c>
      <c r="C15">
        <v>8053</v>
      </c>
      <c r="D15">
        <v>7750</v>
      </c>
      <c r="E15">
        <v>7038</v>
      </c>
      <c r="F15" s="156">
        <f>IS!E$3*CS_1!E39</f>
        <v>7038</v>
      </c>
      <c r="G15" s="135">
        <f>IS!F$3*CS_1!F39</f>
        <v>7642.3050229317605</v>
      </c>
      <c r="H15" s="135">
        <f>IS!G$3*CS_1!G39</f>
        <v>8298.4975935674938</v>
      </c>
      <c r="I15" s="135">
        <f>IS!H$3*CS_1!H39</f>
        <v>9011.0329414759872</v>
      </c>
    </row>
    <row r="16" spans="1:12" x14ac:dyDescent="0.25">
      <c r="A16" s="1" t="s">
        <v>39</v>
      </c>
      <c r="B16">
        <v>6076</v>
      </c>
      <c r="C16">
        <v>7442</v>
      </c>
      <c r="D16">
        <v>14723</v>
      </c>
      <c r="E16">
        <v>13138</v>
      </c>
      <c r="F16" s="156">
        <f>IS!E$3*CS_1!E40</f>
        <v>13138</v>
      </c>
      <c r="G16" s="135">
        <f>IS!F$3*CS_1!F40</f>
        <v>14266.070388075799</v>
      </c>
      <c r="H16" s="135">
        <f>IS!G$3*CS_1!G40</f>
        <v>15491.000480859582</v>
      </c>
      <c r="I16" s="135">
        <f>IS!H$3*CS_1!H40</f>
        <v>16821.106960089728</v>
      </c>
    </row>
    <row r="17" spans="1:9" ht="15.75" thickBot="1" x14ac:dyDescent="0.3">
      <c r="A17" s="2" t="s">
        <v>22</v>
      </c>
      <c r="B17" s="2">
        <f t="shared" ref="B17:I17" si="2">SUM(B10:B16)</f>
        <v>250312</v>
      </c>
      <c r="C17" s="2">
        <f t="shared" si="2"/>
        <v>258848</v>
      </c>
      <c r="D17" s="136">
        <f t="shared" si="2"/>
        <v>286556</v>
      </c>
      <c r="E17" s="136">
        <f t="shared" si="2"/>
        <v>301311</v>
      </c>
      <c r="F17" s="157">
        <f t="shared" si="2"/>
        <v>287735</v>
      </c>
      <c r="G17" s="136">
        <f t="shared" si="2"/>
        <v>339269.98337417888</v>
      </c>
      <c r="H17" s="136">
        <f t="shared" si="2"/>
        <v>386869.86010196235</v>
      </c>
      <c r="I17" s="136">
        <f t="shared" si="2"/>
        <v>442677.02889377216</v>
      </c>
    </row>
    <row r="18" spans="1:9" ht="16.5" thickTop="1" thickBot="1" x14ac:dyDescent="0.3">
      <c r="A18" s="5" t="s">
        <v>23</v>
      </c>
    </row>
    <row r="19" spans="1:9" x14ac:dyDescent="0.25">
      <c r="A19" s="1" t="s">
        <v>24</v>
      </c>
      <c r="B19">
        <v>7390</v>
      </c>
      <c r="C19">
        <v>8617</v>
      </c>
      <c r="D19">
        <v>9382</v>
      </c>
      <c r="E19">
        <v>12530</v>
      </c>
      <c r="F19" s="156">
        <f>CS_1!E19</f>
        <v>12530</v>
      </c>
      <c r="G19" s="135">
        <f>CS_1!F19</f>
        <v>11263.433882137077</v>
      </c>
      <c r="H19" s="135">
        <f>CS_1!G19</f>
        <v>14572.979768083293</v>
      </c>
      <c r="I19" s="135">
        <f>CS_1!H19</f>
        <v>13481.830378779716</v>
      </c>
    </row>
    <row r="20" spans="1:9" x14ac:dyDescent="0.25">
      <c r="A20" s="1" t="s">
        <v>55</v>
      </c>
      <c r="B20">
        <v>9072</v>
      </c>
      <c r="C20">
        <v>0</v>
      </c>
      <c r="D20">
        <v>0</v>
      </c>
      <c r="E20">
        <v>0</v>
      </c>
      <c r="F20" s="155">
        <f>IS!E$3*CS_1!E28</f>
        <v>0</v>
      </c>
      <c r="G20">
        <f>IS!F$3*CS_1!F28</f>
        <v>0</v>
      </c>
      <c r="H20">
        <f>IS!G$3*CS_1!G28</f>
        <v>0</v>
      </c>
      <c r="I20">
        <f>IS!H$3*CS_1!H28</f>
        <v>0</v>
      </c>
    </row>
    <row r="21" spans="1:9" x14ac:dyDescent="0.25">
      <c r="A21" s="1" t="s">
        <v>40</v>
      </c>
      <c r="B21">
        <v>1049</v>
      </c>
      <c r="C21">
        <v>3998</v>
      </c>
      <c r="D21">
        <v>5516</v>
      </c>
      <c r="E21">
        <v>3749</v>
      </c>
      <c r="F21" s="156">
        <f>IS!E$3*CS_1!E29</f>
        <v>3749</v>
      </c>
      <c r="G21" s="135">
        <f>IS!F$3*CS_1!F29</f>
        <v>4070.9010416270494</v>
      </c>
      <c r="H21" s="135">
        <f>IS!G$3*CS_1!G29</f>
        <v>4420.4415285996783</v>
      </c>
      <c r="I21" s="135">
        <f>IS!H$3*CS_1!H29</f>
        <v>4799.9946714398229</v>
      </c>
    </row>
    <row r="22" spans="1:9" x14ac:dyDescent="0.25">
      <c r="A22" s="1" t="s">
        <v>41</v>
      </c>
      <c r="B22">
        <v>5819</v>
      </c>
      <c r="C22">
        <v>6103</v>
      </c>
      <c r="D22">
        <v>6830</v>
      </c>
      <c r="E22">
        <v>7874</v>
      </c>
      <c r="F22" s="156">
        <f>IS!E$3*CS_1!E30</f>
        <v>7874</v>
      </c>
      <c r="G22" s="135">
        <f>IS!F$3*CS_1!F30</f>
        <v>8550.0866369088781</v>
      </c>
      <c r="H22" s="135">
        <f>IS!G$3*CS_1!G30</f>
        <v>9284.2242187767042</v>
      </c>
      <c r="I22" s="135">
        <f>IS!H$3*CS_1!H30</f>
        <v>10081.397184026984</v>
      </c>
    </row>
    <row r="23" spans="1:9" x14ac:dyDescent="0.25">
      <c r="A23" s="1" t="s">
        <v>42</v>
      </c>
      <c r="B23">
        <v>718</v>
      </c>
      <c r="C23">
        <v>2121</v>
      </c>
      <c r="D23">
        <v>5665</v>
      </c>
      <c r="E23">
        <v>2130</v>
      </c>
      <c r="F23" s="156">
        <f>IS!E$3*CS_1!E31</f>
        <v>2130</v>
      </c>
      <c r="G23" s="135">
        <f>IS!F$3*CS_1!F31</f>
        <v>2312.8885619273442</v>
      </c>
      <c r="H23" s="135">
        <f>IS!G$3*CS_1!G31</f>
        <v>2511.4805163823194</v>
      </c>
      <c r="I23" s="135">
        <f>IS!H$3*CS_1!H31</f>
        <v>2727.1242064995527</v>
      </c>
    </row>
    <row r="24" spans="1:9" x14ac:dyDescent="0.25">
      <c r="A24" s="1" t="s">
        <v>43</v>
      </c>
      <c r="B24">
        <v>24013</v>
      </c>
      <c r="C24">
        <v>28905</v>
      </c>
      <c r="D24">
        <v>32676</v>
      </c>
      <c r="E24">
        <v>36000</v>
      </c>
      <c r="F24" s="156">
        <f>IS!E$3*CS_1!E32</f>
        <v>36000</v>
      </c>
      <c r="G24" s="135">
        <f>IS!F$3*CS_1!F32</f>
        <v>39091.074286095958</v>
      </c>
      <c r="H24" s="135">
        <f>IS!G$3*CS_1!G32</f>
        <v>42447.558023363141</v>
      </c>
      <c r="I24" s="135">
        <f>IS!H$3*CS_1!H32</f>
        <v>46092.240109851591</v>
      </c>
    </row>
    <row r="25" spans="1:9" x14ac:dyDescent="0.25">
      <c r="A25" s="1" t="s">
        <v>33</v>
      </c>
      <c r="B25">
        <v>7684</v>
      </c>
      <c r="C25">
        <v>8744</v>
      </c>
      <c r="D25">
        <v>9351</v>
      </c>
      <c r="E25">
        <v>10027</v>
      </c>
      <c r="F25" s="156">
        <f>IS!E$3*CS_1!E33</f>
        <v>10027</v>
      </c>
      <c r="G25" s="135">
        <f>IS!F$3*CS_1!F33</f>
        <v>10887.95005185234</v>
      </c>
      <c r="H25" s="135">
        <f>IS!G$3*CS_1!G33</f>
        <v>11822.824008340618</v>
      </c>
      <c r="I25" s="135">
        <f>IS!H$3*CS_1!H33</f>
        <v>12837.969210596721</v>
      </c>
    </row>
    <row r="26" spans="1:9" ht="15.75" thickBot="1" x14ac:dyDescent="0.3">
      <c r="A26" s="2" t="s">
        <v>26</v>
      </c>
      <c r="B26" s="2">
        <f t="shared" ref="B26:I26" si="3">SUM(B19:B25)</f>
        <v>55745</v>
      </c>
      <c r="C26" s="2">
        <f t="shared" si="3"/>
        <v>58488</v>
      </c>
      <c r="D26" s="2">
        <f t="shared" si="3"/>
        <v>69420</v>
      </c>
      <c r="E26" s="2">
        <f t="shared" si="3"/>
        <v>72310</v>
      </c>
      <c r="F26" s="157">
        <f t="shared" si="3"/>
        <v>72310</v>
      </c>
      <c r="G26" s="136">
        <f t="shared" si="3"/>
        <v>76176.334460548649</v>
      </c>
      <c r="H26" s="136">
        <f t="shared" si="3"/>
        <v>85059.508063545756</v>
      </c>
      <c r="I26" s="136">
        <f t="shared" si="3"/>
        <v>90020.555761194395</v>
      </c>
    </row>
    <row r="27" spans="1:9" ht="15.75" thickTop="1" x14ac:dyDescent="0.25">
      <c r="A27" s="1" t="s">
        <v>44</v>
      </c>
      <c r="B27">
        <v>76073</v>
      </c>
      <c r="C27">
        <v>72242</v>
      </c>
      <c r="D27">
        <v>66662</v>
      </c>
      <c r="E27">
        <v>59578</v>
      </c>
      <c r="F27" s="156">
        <f>IS!E$3*CS_1!E41</f>
        <v>59578</v>
      </c>
      <c r="G27" s="135">
        <f>IS!F$3*CS_1!F41</f>
        <v>64693.556217139587</v>
      </c>
      <c r="H27" s="135">
        <f>IS!G$3*CS_1!G41</f>
        <v>70248.35033099803</v>
      </c>
      <c r="I27" s="135">
        <f>IS!H$3*CS_1!H41</f>
        <v>76280.096701798277</v>
      </c>
    </row>
    <row r="28" spans="1:9" x14ac:dyDescent="0.25">
      <c r="A28" s="1" t="s">
        <v>45</v>
      </c>
      <c r="B28">
        <v>13485</v>
      </c>
      <c r="C28">
        <v>30265</v>
      </c>
      <c r="D28">
        <v>29612</v>
      </c>
      <c r="E28">
        <v>29432</v>
      </c>
      <c r="F28" s="156">
        <f>IS!E$3*CS_1!E42</f>
        <v>29432</v>
      </c>
      <c r="G28" s="135">
        <f>IS!F$3*CS_1!F42</f>
        <v>31959.124955232677</v>
      </c>
      <c r="H28" s="135">
        <f>IS!G$3*CS_1!G42</f>
        <v>34703.236881767334</v>
      </c>
      <c r="I28" s="135">
        <f>IS!H$3*CS_1!H42</f>
        <v>37682.966969809779</v>
      </c>
    </row>
    <row r="29" spans="1:9" x14ac:dyDescent="0.25">
      <c r="A29" s="1" t="s">
        <v>46</v>
      </c>
      <c r="B29">
        <v>2643</v>
      </c>
      <c r="C29">
        <v>3815</v>
      </c>
      <c r="D29">
        <v>4530</v>
      </c>
      <c r="E29">
        <v>3180</v>
      </c>
      <c r="F29" s="156">
        <f>IS!E$3*CS_1!E43</f>
        <v>3180</v>
      </c>
      <c r="G29" s="135">
        <f>IS!F$3*CS_1!F43</f>
        <v>3453.0448952718102</v>
      </c>
      <c r="H29" s="135">
        <f>IS!G$3*CS_1!G43</f>
        <v>3749.5342920637445</v>
      </c>
      <c r="I29" s="135">
        <f>IS!H$3*CS_1!H43</f>
        <v>4071.4812097035574</v>
      </c>
    </row>
    <row r="30" spans="1:9" x14ac:dyDescent="0.25">
      <c r="A30" s="1" t="s">
        <v>47</v>
      </c>
      <c r="B30">
        <v>5734</v>
      </c>
      <c r="C30">
        <v>541</v>
      </c>
      <c r="D30">
        <v>233</v>
      </c>
      <c r="E30">
        <v>204</v>
      </c>
      <c r="F30" s="156">
        <f>IS!E$3*CS_1!E44</f>
        <v>204</v>
      </c>
      <c r="G30" s="135">
        <f>IS!F$3*CS_1!F44</f>
        <v>221.51608762121046</v>
      </c>
      <c r="H30" s="135">
        <f>IS!G$3*CS_1!G44</f>
        <v>240.53616213239115</v>
      </c>
      <c r="I30" s="135">
        <f>IS!H$3*CS_1!H44</f>
        <v>261.18936062249236</v>
      </c>
    </row>
    <row r="31" spans="1:9" x14ac:dyDescent="0.25">
      <c r="A31" s="1" t="s">
        <v>48</v>
      </c>
      <c r="B31">
        <v>5372</v>
      </c>
      <c r="C31">
        <v>5568</v>
      </c>
      <c r="D31">
        <v>6188</v>
      </c>
      <c r="E31">
        <v>7671</v>
      </c>
      <c r="F31" s="156">
        <f>IS!E$3*CS_1!E45</f>
        <v>7671</v>
      </c>
      <c r="G31" s="135">
        <f>IS!F$3*CS_1!F45</f>
        <v>8329.6564124622819</v>
      </c>
      <c r="H31" s="135">
        <f>IS!G$3*CS_1!G45</f>
        <v>9044.8671554782959</v>
      </c>
      <c r="I31" s="135">
        <f>IS!H$3*CS_1!H45</f>
        <v>9821.4881634075446</v>
      </c>
    </row>
    <row r="32" spans="1:9" x14ac:dyDescent="0.25">
      <c r="A32" s="1" t="s">
        <v>49</v>
      </c>
      <c r="B32">
        <v>3549</v>
      </c>
      <c r="C32">
        <v>5211</v>
      </c>
      <c r="D32">
        <v>7581</v>
      </c>
      <c r="E32">
        <v>10632</v>
      </c>
      <c r="F32" s="156">
        <f>IS!E$3*CS_1!E46</f>
        <v>10632</v>
      </c>
      <c r="G32" s="135">
        <f>IS!F$3*CS_1!F46</f>
        <v>11544.897272493674</v>
      </c>
      <c r="H32" s="135">
        <f>IS!G$3*CS_1!G46</f>
        <v>12536.178802899914</v>
      </c>
      <c r="I32" s="135">
        <f>IS!H$3*CS_1!H46</f>
        <v>13612.574912442838</v>
      </c>
    </row>
    <row r="33" spans="1:9" ht="15.75" thickBot="1" x14ac:dyDescent="0.3">
      <c r="A33" s="2" t="s">
        <v>27</v>
      </c>
      <c r="B33" s="2">
        <f t="shared" ref="B33:I33" si="4">SUM(B26:B32)</f>
        <v>162601</v>
      </c>
      <c r="C33" s="2">
        <f t="shared" si="4"/>
        <v>176130</v>
      </c>
      <c r="D33" s="136">
        <f t="shared" si="4"/>
        <v>184226</v>
      </c>
      <c r="E33" s="136">
        <f t="shared" si="4"/>
        <v>183007</v>
      </c>
      <c r="F33" s="157">
        <f t="shared" si="4"/>
        <v>183007</v>
      </c>
      <c r="G33" s="136">
        <f t="shared" si="4"/>
        <v>196378.13030076984</v>
      </c>
      <c r="H33" s="136">
        <f t="shared" si="4"/>
        <v>215582.21168888547</v>
      </c>
      <c r="I33" s="136">
        <f t="shared" si="4"/>
        <v>231750.35307897886</v>
      </c>
    </row>
    <row r="34" spans="1:9" ht="16.5" thickTop="1" thickBot="1" x14ac:dyDescent="0.3">
      <c r="A34" s="5" t="s">
        <v>50</v>
      </c>
    </row>
    <row r="35" spans="1:9" ht="30" x14ac:dyDescent="0.25">
      <c r="A35" s="8" t="s">
        <v>51</v>
      </c>
      <c r="B35">
        <v>69315</v>
      </c>
      <c r="C35">
        <v>71223</v>
      </c>
      <c r="D35">
        <v>78520</v>
      </c>
      <c r="E35">
        <v>80552</v>
      </c>
      <c r="F35" s="155">
        <f>D35</f>
        <v>78520</v>
      </c>
      <c r="G35">
        <f>E35</f>
        <v>80552</v>
      </c>
      <c r="H35">
        <f>G35</f>
        <v>80552</v>
      </c>
      <c r="I35">
        <f>H35</f>
        <v>80552</v>
      </c>
    </row>
    <row r="36" spans="1:9" x14ac:dyDescent="0.25">
      <c r="A36" s="1" t="s">
        <v>28</v>
      </c>
      <c r="B36">
        <v>17769</v>
      </c>
      <c r="C36">
        <v>13682</v>
      </c>
      <c r="D36">
        <v>24150</v>
      </c>
      <c r="E36">
        <v>34566</v>
      </c>
      <c r="G36" s="135">
        <f>CS_1!F74</f>
        <v>59153.853073409038</v>
      </c>
      <c r="H36" s="135">
        <f>CS_1!G74</f>
        <v>87549.648413077011</v>
      </c>
      <c r="I36" s="135">
        <f>CS_1!H74</f>
        <v>127188.67581479347</v>
      </c>
    </row>
    <row r="37" spans="1:9" x14ac:dyDescent="0.25">
      <c r="A37" s="1" t="s">
        <v>52</v>
      </c>
      <c r="B37">
        <v>627</v>
      </c>
      <c r="C37">
        <v>-2187</v>
      </c>
      <c r="D37">
        <v>-340</v>
      </c>
      <c r="E37">
        <v>3186</v>
      </c>
      <c r="G37">
        <f>E37</f>
        <v>3186</v>
      </c>
      <c r="H37">
        <f>G37</f>
        <v>3186</v>
      </c>
      <c r="I37">
        <f>G37</f>
        <v>3186</v>
      </c>
    </row>
    <row r="38" spans="1:9" ht="15.75" thickBot="1" x14ac:dyDescent="0.3">
      <c r="A38" s="2" t="s">
        <v>53</v>
      </c>
      <c r="B38" s="2">
        <f t="shared" ref="B38:I38" si="5">SUM(B35:B37)</f>
        <v>87711</v>
      </c>
      <c r="C38" s="2">
        <f t="shared" si="5"/>
        <v>82718</v>
      </c>
      <c r="D38" s="2">
        <f t="shared" si="5"/>
        <v>102330</v>
      </c>
      <c r="E38" s="2">
        <f t="shared" si="5"/>
        <v>118304</v>
      </c>
      <c r="F38" s="2">
        <f t="shared" si="5"/>
        <v>78520</v>
      </c>
      <c r="G38" s="2">
        <f t="shared" si="5"/>
        <v>142891.85307340903</v>
      </c>
      <c r="H38" s="2">
        <f t="shared" si="5"/>
        <v>171287.648413077</v>
      </c>
      <c r="I38" s="2">
        <f t="shared" si="5"/>
        <v>210926.67581479347</v>
      </c>
    </row>
    <row r="39" spans="1:9" ht="16.5" thickTop="1" thickBot="1" x14ac:dyDescent="0.3">
      <c r="A39" s="2" t="s">
        <v>54</v>
      </c>
      <c r="B39" s="2">
        <f t="shared" ref="B39:I39" si="6">SUM(B38,B33)</f>
        <v>250312</v>
      </c>
      <c r="C39" s="2">
        <f t="shared" si="6"/>
        <v>258848</v>
      </c>
      <c r="D39" s="2">
        <f t="shared" si="6"/>
        <v>286556</v>
      </c>
      <c r="E39" s="2">
        <f t="shared" si="6"/>
        <v>301311</v>
      </c>
      <c r="F39" s="2">
        <f t="shared" si="6"/>
        <v>261527</v>
      </c>
      <c r="G39" s="2">
        <f t="shared" si="6"/>
        <v>339269.98337417888</v>
      </c>
      <c r="H39" s="2">
        <f t="shared" si="6"/>
        <v>386869.86010196246</v>
      </c>
      <c r="I39" s="2">
        <f t="shared" si="6"/>
        <v>442677.02889377234</v>
      </c>
    </row>
    <row r="40" spans="1:9" ht="16.5" thickTop="1" thickBot="1" x14ac:dyDescent="0.3">
      <c r="A40" s="2" t="s">
        <v>56</v>
      </c>
      <c r="B40" s="2">
        <f t="shared" ref="B40:I40" si="7">B17-B39</f>
        <v>0</v>
      </c>
      <c r="C40" s="2">
        <f t="shared" si="7"/>
        <v>0</v>
      </c>
      <c r="D40" s="2">
        <f t="shared" si="7"/>
        <v>0</v>
      </c>
      <c r="E40" s="2">
        <f t="shared" si="7"/>
        <v>0</v>
      </c>
      <c r="F40" s="2">
        <f t="shared" si="7"/>
        <v>26208</v>
      </c>
      <c r="G40" s="2">
        <f t="shared" si="7"/>
        <v>0</v>
      </c>
      <c r="H40" s="2">
        <f t="shared" si="7"/>
        <v>0</v>
      </c>
      <c r="I40" s="2">
        <f t="shared" si="7"/>
        <v>0</v>
      </c>
    </row>
    <row r="41" spans="1:9" ht="15.75" thickTop="1" x14ac:dyDescent="0.25"/>
  </sheetData>
  <mergeCells count="1">
    <mergeCell ref="K1:L2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J44"/>
  <sheetViews>
    <sheetView workbookViewId="0">
      <pane ySplit="2" topLeftCell="A21" activePane="bottomLeft" state="frozen"/>
      <selection pane="bottomLeft"/>
    </sheetView>
  </sheetViews>
  <sheetFormatPr defaultRowHeight="15" x14ac:dyDescent="0.25"/>
  <cols>
    <col min="1" max="1" width="84.7109375" bestFit="1" customWidth="1"/>
    <col min="2" max="3" width="12" bestFit="1" customWidth="1"/>
    <col min="4" max="4" width="16.28515625" bestFit="1" customWidth="1"/>
    <col min="5" max="6" width="9" customWidth="1"/>
  </cols>
  <sheetData>
    <row r="1" spans="1:10" x14ac:dyDescent="0.25">
      <c r="I1" s="259"/>
      <c r="J1" s="259"/>
    </row>
    <row r="2" spans="1:10" x14ac:dyDescent="0.25">
      <c r="A2" s="7" t="s">
        <v>58</v>
      </c>
      <c r="B2" s="7">
        <v>2017</v>
      </c>
      <c r="C2" s="7">
        <v>2018</v>
      </c>
      <c r="D2" s="7">
        <f>C2+1</f>
        <v>2019</v>
      </c>
      <c r="E2" s="7">
        <f>D2+1</f>
        <v>2020</v>
      </c>
      <c r="F2" s="7">
        <f>E2+1</f>
        <v>2021</v>
      </c>
      <c r="G2" s="7">
        <f>F2+1</f>
        <v>2022</v>
      </c>
      <c r="H2" s="7">
        <f>G2+1</f>
        <v>2023</v>
      </c>
      <c r="I2" s="259"/>
      <c r="J2" s="259"/>
    </row>
    <row r="4" spans="1:10" ht="15.75" thickBot="1" x14ac:dyDescent="0.3">
      <c r="A4" s="5" t="s">
        <v>59</v>
      </c>
    </row>
    <row r="5" spans="1:10" x14ac:dyDescent="0.25">
      <c r="A5" s="1" t="s">
        <v>3</v>
      </c>
      <c r="B5">
        <v>25489</v>
      </c>
      <c r="C5">
        <v>16571</v>
      </c>
      <c r="D5">
        <v>39240</v>
      </c>
      <c r="E5">
        <v>44281</v>
      </c>
      <c r="F5" s="135">
        <f>IS!F16</f>
        <v>45495.973069764848</v>
      </c>
      <c r="G5" s="135">
        <f>IS!G16</f>
        <v>49402.40174967776</v>
      </c>
      <c r="H5" s="135">
        <f>IS!H16</f>
        <v>53644.24879745028</v>
      </c>
    </row>
    <row r="6" spans="1:10" ht="15.75" thickBot="1" x14ac:dyDescent="0.3">
      <c r="A6" s="5" t="s">
        <v>60</v>
      </c>
    </row>
    <row r="7" spans="1:10" x14ac:dyDescent="0.25">
      <c r="A7" s="1" t="s">
        <v>61</v>
      </c>
      <c r="B7">
        <v>8778</v>
      </c>
      <c r="C7">
        <v>10261</v>
      </c>
      <c r="D7">
        <v>11682</v>
      </c>
      <c r="E7">
        <v>12796</v>
      </c>
      <c r="F7" s="135">
        <f>CS_1!F48</f>
        <v>13894.705182357888</v>
      </c>
      <c r="G7" s="135">
        <f>CS_1!G48</f>
        <v>15087.748679637632</v>
      </c>
      <c r="H7" s="135">
        <f>CS_1!H48</f>
        <v>16383.230679046139</v>
      </c>
    </row>
    <row r="8" spans="1:10" x14ac:dyDescent="0.25">
      <c r="A8" s="1" t="s">
        <v>62</v>
      </c>
      <c r="B8">
        <v>3266</v>
      </c>
      <c r="C8">
        <v>3940</v>
      </c>
      <c r="D8">
        <v>4652</v>
      </c>
      <c r="E8">
        <v>5289</v>
      </c>
      <c r="F8" s="135">
        <f>CS_1!F50</f>
        <v>5743.1303305322654</v>
      </c>
      <c r="G8" s="135">
        <f>CS_1!G50</f>
        <v>6236.2537329324359</v>
      </c>
      <c r="H8" s="135">
        <f>CS_1!H50</f>
        <v>6771.7182761390304</v>
      </c>
    </row>
    <row r="9" spans="1:10" x14ac:dyDescent="0.25">
      <c r="A9" s="1" t="s">
        <v>63</v>
      </c>
      <c r="B9">
        <v>-2073</v>
      </c>
      <c r="C9">
        <v>-2212</v>
      </c>
      <c r="D9">
        <v>-792</v>
      </c>
      <c r="E9">
        <v>-219</v>
      </c>
      <c r="F9" s="135">
        <f>CS_1!F52</f>
        <v>-237.80403524041711</v>
      </c>
      <c r="G9" s="135">
        <f>CS_1!G52</f>
        <v>-258.22264464212583</v>
      </c>
      <c r="H9" s="135">
        <f>CS_1!H52</f>
        <v>-280.39446066826389</v>
      </c>
    </row>
    <row r="10" spans="1:10" x14ac:dyDescent="0.25">
      <c r="A10" s="1" t="s">
        <v>47</v>
      </c>
      <c r="B10">
        <v>-829</v>
      </c>
      <c r="C10">
        <v>-5143</v>
      </c>
      <c r="D10">
        <v>-6463</v>
      </c>
      <c r="E10">
        <v>11</v>
      </c>
      <c r="F10">
        <f>E10</f>
        <v>11</v>
      </c>
      <c r="G10">
        <f>F10</f>
        <v>11</v>
      </c>
      <c r="H10">
        <f>G10</f>
        <v>11</v>
      </c>
    </row>
    <row r="11" spans="1:10" ht="15.75" thickBot="1" x14ac:dyDescent="0.3">
      <c r="A11" s="5" t="s">
        <v>57</v>
      </c>
    </row>
    <row r="12" spans="1:10" x14ac:dyDescent="0.25">
      <c r="A12" s="1" t="s">
        <v>64</v>
      </c>
      <c r="B12">
        <v>-1216</v>
      </c>
      <c r="C12">
        <v>-3862</v>
      </c>
      <c r="D12">
        <v>-2812</v>
      </c>
      <c r="E12">
        <v>-2577</v>
      </c>
      <c r="F12" s="135">
        <f>BS!E7-BS!G7</f>
        <v>-2796.5904498587479</v>
      </c>
      <c r="G12" s="135">
        <f>BS!F7-BS!H7</f>
        <v>-5737.2562992426683</v>
      </c>
      <c r="H12" s="135">
        <f>BS!G7-BS!I7</f>
        <v>-6229.8753386685275</v>
      </c>
    </row>
    <row r="13" spans="1:10" x14ac:dyDescent="0.25">
      <c r="A13" s="1" t="s">
        <v>19</v>
      </c>
      <c r="B13">
        <v>50</v>
      </c>
      <c r="C13">
        <v>-465</v>
      </c>
      <c r="D13">
        <v>597</v>
      </c>
      <c r="E13">
        <v>168</v>
      </c>
      <c r="F13" s="135">
        <f>BS!E8-BS!G8</f>
        <v>-507.84644512132854</v>
      </c>
      <c r="G13" s="135">
        <f>BS!F8-BS!H8</f>
        <v>-369.02673978065286</v>
      </c>
      <c r="H13" s="135">
        <f>BS!G8-BS!I8</f>
        <v>-400.71254717559168</v>
      </c>
    </row>
    <row r="14" spans="1:10" x14ac:dyDescent="0.25">
      <c r="A14" s="1" t="s">
        <v>20</v>
      </c>
      <c r="B14">
        <v>1028</v>
      </c>
      <c r="C14">
        <v>-952</v>
      </c>
      <c r="D14">
        <v>-1718</v>
      </c>
      <c r="E14">
        <v>-2330</v>
      </c>
      <c r="F14" s="135">
        <f>BS!E9-BS!G9</f>
        <v>-985.88097091538475</v>
      </c>
      <c r="G14" s="135">
        <f>BS!F9-BS!H9</f>
        <v>-2056.4128117848777</v>
      </c>
      <c r="H14" s="135">
        <f>BS!G9-BS!I9</f>
        <v>-2232.9829441211732</v>
      </c>
    </row>
    <row r="15" spans="1:10" x14ac:dyDescent="0.25">
      <c r="A15" s="1" t="s">
        <v>39</v>
      </c>
      <c r="B15">
        <v>-917</v>
      </c>
      <c r="C15">
        <v>-285</v>
      </c>
      <c r="D15">
        <v>-1834</v>
      </c>
      <c r="E15">
        <v>-1037</v>
      </c>
      <c r="F15" s="135">
        <f>BS!E16-BS!G16</f>
        <v>-1128.0703880757992</v>
      </c>
      <c r="G15" s="135">
        <f>BS!F16-BS!H16</f>
        <v>-2353.0004808595822</v>
      </c>
      <c r="H15" s="135">
        <f>BS!G16-BS!I16</f>
        <v>-2555.0365720139289</v>
      </c>
    </row>
    <row r="16" spans="1:10" x14ac:dyDescent="0.25">
      <c r="A16" s="1" t="s">
        <v>24</v>
      </c>
      <c r="B16">
        <v>81</v>
      </c>
      <c r="C16">
        <v>1148</v>
      </c>
      <c r="D16">
        <v>232</v>
      </c>
      <c r="E16">
        <v>3018</v>
      </c>
      <c r="F16" s="135">
        <f>BS!G19-BS!E19</f>
        <v>-1266.5661178629234</v>
      </c>
      <c r="G16" s="135">
        <f>BS!H19-BS!F19</f>
        <v>2042.9797680832926</v>
      </c>
      <c r="H16" s="135">
        <f>BS!I19-BS!G19</f>
        <v>2218.3964966426392</v>
      </c>
    </row>
    <row r="17" spans="1:8" x14ac:dyDescent="0.25">
      <c r="A17" s="1" t="s">
        <v>65</v>
      </c>
      <c r="B17">
        <v>3820</v>
      </c>
      <c r="C17">
        <v>5922</v>
      </c>
      <c r="D17">
        <v>4462</v>
      </c>
      <c r="E17">
        <v>2212</v>
      </c>
      <c r="F17" s="135">
        <f>BS!G24-BS!E24</f>
        <v>3091.0742860959581</v>
      </c>
      <c r="G17" s="135">
        <f>BS!H24-BS!F24</f>
        <v>6447.5580233631408</v>
      </c>
      <c r="H17" s="135">
        <f>BS!I24-BS!G24</f>
        <v>7001.165823755633</v>
      </c>
    </row>
    <row r="18" spans="1:8" x14ac:dyDescent="0.25">
      <c r="A18" s="1" t="s">
        <v>66</v>
      </c>
      <c r="B18">
        <v>1792</v>
      </c>
      <c r="C18">
        <v>18183</v>
      </c>
      <c r="D18">
        <v>2929</v>
      </c>
      <c r="E18">
        <v>-3631</v>
      </c>
      <c r="F18" s="135">
        <f>BS!G23-BS!E23</f>
        <v>182.8885619273442</v>
      </c>
      <c r="G18" s="135">
        <f>BS!H23-BS!F23</f>
        <v>381.48051638231937</v>
      </c>
      <c r="H18" s="135">
        <f>BS!I23-BS!G23</f>
        <v>414.23564457220846</v>
      </c>
    </row>
    <row r="19" spans="1:8" x14ac:dyDescent="0.25">
      <c r="A19" s="1" t="s">
        <v>25</v>
      </c>
      <c r="B19">
        <v>356</v>
      </c>
      <c r="C19">
        <v>798</v>
      </c>
      <c r="D19">
        <v>1419</v>
      </c>
      <c r="E19">
        <v>1346</v>
      </c>
      <c r="F19" s="135">
        <f>BS!G25-BS!E25</f>
        <v>860.95005185234004</v>
      </c>
      <c r="G19" s="135">
        <f>BS!H25-BS!F25</f>
        <v>1795.8240083406181</v>
      </c>
      <c r="H19" s="135">
        <f>BS!I25-BS!G25</f>
        <v>1950.0191587443805</v>
      </c>
    </row>
    <row r="20" spans="1:8" x14ac:dyDescent="0.25">
      <c r="A20" s="1" t="s">
        <v>49</v>
      </c>
      <c r="B20">
        <v>-118</v>
      </c>
      <c r="C20">
        <v>-20</v>
      </c>
      <c r="D20">
        <v>591</v>
      </c>
      <c r="E20">
        <v>1348</v>
      </c>
      <c r="F20" s="135">
        <f>BS!G32-BS!E32</f>
        <v>912.89727249367388</v>
      </c>
      <c r="G20" s="135">
        <f>BS!H32-BS!F32</f>
        <v>1904.1788028999144</v>
      </c>
      <c r="H20" s="135">
        <f>BS!I32-BS!G32</f>
        <v>2067.6776399491646</v>
      </c>
    </row>
    <row r="21" spans="1:8" ht="15.75" thickBot="1" x14ac:dyDescent="0.3">
      <c r="A21" s="2" t="s">
        <v>67</v>
      </c>
      <c r="B21" s="2">
        <f t="shared" ref="B21:H21" si="0">SUM(B5,B7:B10,B12:B20)</f>
        <v>39507</v>
      </c>
      <c r="C21" s="2">
        <f t="shared" si="0"/>
        <v>43884</v>
      </c>
      <c r="D21" s="2">
        <f t="shared" si="0"/>
        <v>52185</v>
      </c>
      <c r="E21" s="136">
        <f t="shared" si="0"/>
        <v>60675</v>
      </c>
      <c r="F21" s="136">
        <f t="shared" si="0"/>
        <v>63269.860347949711</v>
      </c>
      <c r="G21" s="136">
        <f t="shared" si="0"/>
        <v>72535.506305007191</v>
      </c>
      <c r="H21" s="136">
        <f t="shared" si="0"/>
        <v>78762.690653651996</v>
      </c>
    </row>
    <row r="22" spans="1:8" ht="16.5" thickTop="1" thickBot="1" x14ac:dyDescent="0.3">
      <c r="A22" s="5" t="s">
        <v>68</v>
      </c>
    </row>
    <row r="23" spans="1:8" x14ac:dyDescent="0.25">
      <c r="A23" s="1" t="s">
        <v>69</v>
      </c>
      <c r="B23">
        <v>-4963</v>
      </c>
      <c r="C23">
        <v>-7324</v>
      </c>
      <c r="D23">
        <v>0</v>
      </c>
      <c r="E23">
        <v>0</v>
      </c>
      <c r="F23">
        <f t="shared" ref="F23:H25" si="1">E23</f>
        <v>0</v>
      </c>
      <c r="G23">
        <f t="shared" si="1"/>
        <v>0</v>
      </c>
      <c r="H23">
        <f t="shared" si="1"/>
        <v>0</v>
      </c>
    </row>
    <row r="24" spans="1:8" x14ac:dyDescent="0.25">
      <c r="A24" s="1" t="s">
        <v>70</v>
      </c>
      <c r="B24">
        <v>44344</v>
      </c>
      <c r="C24">
        <v>7183</v>
      </c>
      <c r="D24">
        <v>0</v>
      </c>
      <c r="E24">
        <v>0</v>
      </c>
      <c r="F24" s="135">
        <f t="shared" si="1"/>
        <v>0</v>
      </c>
      <c r="G24" s="135">
        <f t="shared" si="1"/>
        <v>0</v>
      </c>
      <c r="H24" s="135">
        <f t="shared" si="1"/>
        <v>0</v>
      </c>
    </row>
    <row r="25" spans="1:8" x14ac:dyDescent="0.25">
      <c r="A25" s="1" t="s">
        <v>302</v>
      </c>
      <c r="B25">
        <v>0</v>
      </c>
      <c r="C25">
        <v>0</v>
      </c>
      <c r="D25">
        <v>0</v>
      </c>
      <c r="E25">
        <v>-3417</v>
      </c>
      <c r="F25">
        <f t="shared" si="1"/>
        <v>-3417</v>
      </c>
      <c r="G25">
        <f t="shared" si="1"/>
        <v>-3417</v>
      </c>
      <c r="H25">
        <f t="shared" si="1"/>
        <v>-3417</v>
      </c>
    </row>
    <row r="26" spans="1:8" x14ac:dyDescent="0.25">
      <c r="A26" s="1" t="s">
        <v>71</v>
      </c>
      <c r="B26">
        <v>-7922</v>
      </c>
      <c r="C26">
        <v>-10060</v>
      </c>
      <c r="D26">
        <v>-4000</v>
      </c>
      <c r="E26">
        <v>-5518</v>
      </c>
      <c r="F26" s="135">
        <f>-BS!G21</f>
        <v>-4070.9010416270494</v>
      </c>
      <c r="G26" s="135">
        <f>-BS!H21</f>
        <v>-4420.4415285996783</v>
      </c>
      <c r="H26" s="135">
        <f>-BS!I21</f>
        <v>-4799.9946714398229</v>
      </c>
    </row>
    <row r="27" spans="1:8" x14ac:dyDescent="0.25">
      <c r="A27" s="1" t="s">
        <v>72</v>
      </c>
      <c r="B27">
        <v>772</v>
      </c>
      <c r="C27">
        <v>1002</v>
      </c>
      <c r="D27">
        <v>1142</v>
      </c>
      <c r="E27">
        <v>1343</v>
      </c>
      <c r="F27">
        <f>BS!G35-BS!E35</f>
        <v>0</v>
      </c>
      <c r="G27">
        <f>F27</f>
        <v>0</v>
      </c>
      <c r="H27">
        <f>BS!I35-BS!G35</f>
        <v>0</v>
      </c>
    </row>
    <row r="28" spans="1:8" x14ac:dyDescent="0.25">
      <c r="A28" s="1" t="s">
        <v>73</v>
      </c>
      <c r="B28">
        <v>-11788</v>
      </c>
      <c r="C28">
        <v>-10721</v>
      </c>
      <c r="D28">
        <v>-19543</v>
      </c>
      <c r="E28">
        <v>-22968</v>
      </c>
      <c r="F28">
        <f>E28</f>
        <v>-22968</v>
      </c>
      <c r="G28">
        <f>F28</f>
        <v>-22968</v>
      </c>
      <c r="H28">
        <f>G28</f>
        <v>-22968</v>
      </c>
    </row>
    <row r="29" spans="1:8" x14ac:dyDescent="0.25">
      <c r="A29" s="1" t="s">
        <v>74</v>
      </c>
      <c r="B29">
        <v>-11845</v>
      </c>
      <c r="C29">
        <v>-12699</v>
      </c>
      <c r="D29">
        <v>-13811</v>
      </c>
      <c r="E29">
        <v>-15137</v>
      </c>
      <c r="F29">
        <f>E29</f>
        <v>-15137</v>
      </c>
      <c r="G29">
        <f>F29</f>
        <v>-15137</v>
      </c>
      <c r="H29">
        <f>G29</f>
        <v>-15137</v>
      </c>
    </row>
    <row r="30" spans="1:8" x14ac:dyDescent="0.25">
      <c r="A30" s="1" t="s">
        <v>75</v>
      </c>
      <c r="B30">
        <v>-190</v>
      </c>
      <c r="C30">
        <v>-971</v>
      </c>
      <c r="D30">
        <v>-675</v>
      </c>
      <c r="E30">
        <v>-334</v>
      </c>
      <c r="F30">
        <f>E30</f>
        <v>-334</v>
      </c>
      <c r="G30">
        <f>F30</f>
        <v>-334</v>
      </c>
      <c r="H30">
        <f>G30</f>
        <v>-334</v>
      </c>
    </row>
    <row r="31" spans="1:8" ht="15.75" thickBot="1" x14ac:dyDescent="0.3">
      <c r="A31" s="2" t="s">
        <v>76</v>
      </c>
      <c r="B31" s="2">
        <f t="shared" ref="B31:H31" si="2">SUM(B23:B30)</f>
        <v>8408</v>
      </c>
      <c r="C31" s="2">
        <f t="shared" si="2"/>
        <v>-33590</v>
      </c>
      <c r="D31" s="2">
        <f t="shared" si="2"/>
        <v>-36887</v>
      </c>
      <c r="E31" s="136">
        <f t="shared" si="2"/>
        <v>-46031</v>
      </c>
      <c r="F31" s="136">
        <f t="shared" si="2"/>
        <v>-45926.901041627047</v>
      </c>
      <c r="G31" s="136">
        <f t="shared" si="2"/>
        <v>-46276.44152859968</v>
      </c>
      <c r="H31" s="136">
        <f t="shared" si="2"/>
        <v>-46655.994671439825</v>
      </c>
    </row>
    <row r="32" spans="1:8" ht="16.5" thickTop="1" thickBot="1" x14ac:dyDescent="0.3">
      <c r="A32" s="5" t="s">
        <v>77</v>
      </c>
    </row>
    <row r="33" spans="1:8" s="162" customFormat="1" x14ac:dyDescent="0.25">
      <c r="A33" s="161" t="s">
        <v>78</v>
      </c>
      <c r="B33" s="162">
        <v>-8129</v>
      </c>
      <c r="C33" s="162">
        <v>-11632</v>
      </c>
      <c r="D33" s="162">
        <v>-13925</v>
      </c>
      <c r="E33" s="162">
        <v>-15441</v>
      </c>
      <c r="F33" s="163">
        <f>CS_1!E59-CS_1!F59</f>
        <v>-7499.9765761641756</v>
      </c>
      <c r="G33" s="163">
        <f>CS_1!F59-CS_1!G59</f>
        <v>-8143.9483745226025</v>
      </c>
      <c r="H33" s="163">
        <f>CS_1!G59-CS_1!H59</f>
        <v>-8843.2136358498246</v>
      </c>
    </row>
    <row r="34" spans="1:8" x14ac:dyDescent="0.25">
      <c r="A34" s="1" t="s">
        <v>79</v>
      </c>
      <c r="B34">
        <v>-25944</v>
      </c>
      <c r="C34">
        <v>-888</v>
      </c>
      <c r="D34">
        <v>-2388</v>
      </c>
      <c r="E34">
        <v>-2521</v>
      </c>
      <c r="F34">
        <v>-2521</v>
      </c>
      <c r="G34">
        <v>-2521</v>
      </c>
      <c r="H34">
        <v>-2521</v>
      </c>
    </row>
    <row r="35" spans="1:8" x14ac:dyDescent="0.25">
      <c r="A35" s="1" t="s">
        <v>80</v>
      </c>
      <c r="B35">
        <v>-176905</v>
      </c>
      <c r="C35">
        <v>-137380</v>
      </c>
      <c r="D35">
        <v>-57697</v>
      </c>
      <c r="E35">
        <v>-77190</v>
      </c>
      <c r="F35">
        <v>-77190</v>
      </c>
      <c r="G35">
        <v>-77190</v>
      </c>
      <c r="H35">
        <v>-77190</v>
      </c>
    </row>
    <row r="36" spans="1:8" x14ac:dyDescent="0.25">
      <c r="A36" s="1" t="s">
        <v>81</v>
      </c>
      <c r="B36">
        <v>28044</v>
      </c>
      <c r="C36">
        <v>26360</v>
      </c>
      <c r="D36">
        <v>20043</v>
      </c>
      <c r="E36">
        <v>66449</v>
      </c>
      <c r="F36">
        <v>66449</v>
      </c>
      <c r="G36">
        <v>66449</v>
      </c>
      <c r="H36">
        <v>66449</v>
      </c>
    </row>
    <row r="37" spans="1:8" x14ac:dyDescent="0.25">
      <c r="A37" s="1" t="s">
        <v>82</v>
      </c>
      <c r="B37">
        <v>136350</v>
      </c>
      <c r="C37">
        <v>117577</v>
      </c>
      <c r="D37">
        <v>38194</v>
      </c>
      <c r="E37">
        <v>17721</v>
      </c>
      <c r="F37">
        <v>17721</v>
      </c>
      <c r="G37">
        <v>17721</v>
      </c>
      <c r="H37">
        <v>17721</v>
      </c>
    </row>
    <row r="38" spans="1:8" x14ac:dyDescent="0.25">
      <c r="A38" s="1" t="s">
        <v>83</v>
      </c>
      <c r="B38">
        <v>-197</v>
      </c>
      <c r="C38">
        <v>-98</v>
      </c>
      <c r="D38">
        <v>0</v>
      </c>
      <c r="E38">
        <v>-1241</v>
      </c>
      <c r="F38">
        <v>-1241</v>
      </c>
      <c r="G38">
        <v>-1241</v>
      </c>
      <c r="H38">
        <v>-1241</v>
      </c>
    </row>
    <row r="39" spans="1:8" ht="15.75" thickBot="1" x14ac:dyDescent="0.3">
      <c r="A39" s="2" t="s">
        <v>84</v>
      </c>
      <c r="B39" s="2">
        <f t="shared" ref="B39:H39" si="3">SUM(B33:B38)</f>
        <v>-46781</v>
      </c>
      <c r="C39" s="2">
        <f t="shared" si="3"/>
        <v>-6061</v>
      </c>
      <c r="D39" s="2">
        <f t="shared" si="3"/>
        <v>-15773</v>
      </c>
      <c r="E39" s="2">
        <f t="shared" si="3"/>
        <v>-12223</v>
      </c>
      <c r="F39" s="136">
        <f t="shared" si="3"/>
        <v>-4281.9765761641756</v>
      </c>
      <c r="G39" s="136">
        <f t="shared" si="3"/>
        <v>-4925.9483745226025</v>
      </c>
      <c r="H39" s="136">
        <f t="shared" si="3"/>
        <v>-5625.2136358498246</v>
      </c>
    </row>
    <row r="40" spans="1:8" ht="15.75" thickTop="1" x14ac:dyDescent="0.25">
      <c r="A40" s="1" t="s">
        <v>85</v>
      </c>
      <c r="B40">
        <v>19</v>
      </c>
      <c r="C40">
        <v>50</v>
      </c>
      <c r="D40">
        <v>-115</v>
      </c>
      <c r="E40">
        <v>-201</v>
      </c>
      <c r="F40" s="135">
        <v>-201</v>
      </c>
      <c r="G40" s="135">
        <v>-201</v>
      </c>
      <c r="H40" s="135">
        <v>-201</v>
      </c>
    </row>
    <row r="41" spans="1:8" ht="15.75" thickBot="1" x14ac:dyDescent="0.3">
      <c r="A41" s="2" t="s">
        <v>86</v>
      </c>
      <c r="B41" s="2">
        <f t="shared" ref="B41:H41" si="4">SUM(B40,B39,B31,B21)</f>
        <v>1153</v>
      </c>
      <c r="C41" s="2">
        <f t="shared" si="4"/>
        <v>4283</v>
      </c>
      <c r="D41" s="2">
        <f t="shared" si="4"/>
        <v>-590</v>
      </c>
      <c r="E41" s="2">
        <f t="shared" si="4"/>
        <v>2220</v>
      </c>
      <c r="F41" s="136">
        <f t="shared" si="4"/>
        <v>12859.982730158488</v>
      </c>
      <c r="G41" s="136">
        <f t="shared" si="4"/>
        <v>21132.116401884909</v>
      </c>
      <c r="H41" s="136">
        <f t="shared" si="4"/>
        <v>26280.482346362347</v>
      </c>
    </row>
    <row r="42" spans="1:8" ht="15.75" thickTop="1" x14ac:dyDescent="0.25">
      <c r="A42" s="1" t="s">
        <v>87</v>
      </c>
      <c r="B42">
        <v>6510</v>
      </c>
      <c r="C42">
        <v>7663</v>
      </c>
      <c r="D42">
        <v>11946</v>
      </c>
      <c r="E42">
        <v>11356</v>
      </c>
      <c r="F42" s="135">
        <f>E43</f>
        <v>13576</v>
      </c>
      <c r="G42" s="135">
        <f>F43</f>
        <v>26435.982730158488</v>
      </c>
      <c r="H42" s="135">
        <f>G43</f>
        <v>47568.099132043397</v>
      </c>
    </row>
    <row r="43" spans="1:8" ht="15.75" thickBot="1" x14ac:dyDescent="0.3">
      <c r="A43" s="2" t="s">
        <v>88</v>
      </c>
      <c r="B43" s="2">
        <f t="shared" ref="B43:H43" si="5">B41+B42</f>
        <v>7663</v>
      </c>
      <c r="C43" s="2">
        <f t="shared" si="5"/>
        <v>11946</v>
      </c>
      <c r="D43" s="2">
        <f t="shared" si="5"/>
        <v>11356</v>
      </c>
      <c r="E43" s="2">
        <f t="shared" si="5"/>
        <v>13576</v>
      </c>
      <c r="F43" s="136">
        <f t="shared" si="5"/>
        <v>26435.982730158488</v>
      </c>
      <c r="G43" s="136">
        <f t="shared" si="5"/>
        <v>47568.099132043397</v>
      </c>
      <c r="H43" s="136">
        <f t="shared" si="5"/>
        <v>73848.581478405744</v>
      </c>
    </row>
    <row r="44" spans="1:8" ht="15.75" thickTop="1" x14ac:dyDescent="0.25"/>
  </sheetData>
  <mergeCells count="1">
    <mergeCell ref="I1:J2"/>
  </mergeCells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Q22"/>
  <sheetViews>
    <sheetView workbookViewId="0">
      <selection activeCell="B2" sqref="B2"/>
    </sheetView>
  </sheetViews>
  <sheetFormatPr defaultRowHeight="15" x14ac:dyDescent="0.25"/>
  <cols>
    <col min="2" max="2" width="11" bestFit="1" customWidth="1"/>
    <col min="5" max="5" width="16.28515625" bestFit="1" customWidth="1"/>
    <col min="8" max="9" width="11.140625" bestFit="1" customWidth="1"/>
    <col min="10" max="12" width="12.140625" bestFit="1" customWidth="1"/>
  </cols>
  <sheetData>
    <row r="1" spans="1:17" ht="15.75" thickBot="1" x14ac:dyDescent="0.3">
      <c r="A1" t="s">
        <v>97</v>
      </c>
      <c r="B1" t="s">
        <v>235</v>
      </c>
      <c r="C1">
        <v>2011</v>
      </c>
      <c r="D1">
        <v>2012</v>
      </c>
      <c r="E1">
        <v>2013</v>
      </c>
      <c r="F1">
        <v>2014</v>
      </c>
      <c r="G1">
        <v>2015</v>
      </c>
      <c r="H1">
        <v>2016</v>
      </c>
      <c r="I1">
        <v>2017</v>
      </c>
      <c r="J1">
        <v>2018</v>
      </c>
      <c r="K1">
        <v>2019</v>
      </c>
      <c r="L1">
        <v>2020</v>
      </c>
      <c r="M1">
        <v>2021</v>
      </c>
      <c r="N1">
        <v>2022</v>
      </c>
      <c r="O1">
        <v>2023</v>
      </c>
    </row>
    <row r="2" spans="1:17" ht="15.75" thickBot="1" x14ac:dyDescent="0.3">
      <c r="A2" t="s">
        <v>10</v>
      </c>
      <c r="B2" t="s">
        <v>237</v>
      </c>
      <c r="C2">
        <v>69943</v>
      </c>
      <c r="D2">
        <v>73723</v>
      </c>
      <c r="E2">
        <v>77849</v>
      </c>
      <c r="F2">
        <v>86833</v>
      </c>
      <c r="G2">
        <v>93580</v>
      </c>
      <c r="H2" s="122">
        <v>85320</v>
      </c>
      <c r="I2" s="123">
        <v>89950</v>
      </c>
      <c r="J2" s="123">
        <v>110360</v>
      </c>
      <c r="K2" s="123">
        <v>125843</v>
      </c>
      <c r="L2" s="123">
        <v>143015</v>
      </c>
      <c r="M2">
        <f>VLOOKUP($B$2,$E$6:$I$15,3,0)</f>
        <v>155294.72191738928</v>
      </c>
      <c r="N2">
        <f>VLOOKUP($B$2,$E$6:$I$15,4,0)</f>
        <v>168628.81974198</v>
      </c>
      <c r="O2">
        <f>VLOOKUP($B$2,$E$6:$I$15,5,0)</f>
        <v>183107.82553640072</v>
      </c>
    </row>
    <row r="3" spans="1:17" x14ac:dyDescent="0.25">
      <c r="A3" t="s">
        <v>244</v>
      </c>
      <c r="D3" s="11">
        <f>D2/C2-1</f>
        <v>5.4044007263057026E-2</v>
      </c>
      <c r="E3" s="11">
        <f t="shared" ref="E3:L3" si="0">E2/D2-1</f>
        <v>5.5966252051598442E-2</v>
      </c>
      <c r="F3" s="11">
        <f t="shared" si="0"/>
        <v>0.11540289534868786</v>
      </c>
      <c r="G3" s="11">
        <f t="shared" si="0"/>
        <v>7.7700874091647165E-2</v>
      </c>
      <c r="H3" s="124">
        <f t="shared" si="0"/>
        <v>-8.8266723658901425E-2</v>
      </c>
      <c r="I3" s="11">
        <f t="shared" si="0"/>
        <v>5.4266291608063844E-2</v>
      </c>
      <c r="J3" s="125">
        <f t="shared" si="0"/>
        <v>0.22690383546414683</v>
      </c>
      <c r="K3" s="11">
        <f t="shared" si="0"/>
        <v>0.14029539688292858</v>
      </c>
      <c r="L3" s="11">
        <f t="shared" si="0"/>
        <v>0.13645574247276371</v>
      </c>
    </row>
    <row r="6" spans="1:17" x14ac:dyDescent="0.25">
      <c r="E6" t="s">
        <v>236</v>
      </c>
      <c r="F6" t="s">
        <v>248</v>
      </c>
      <c r="G6">
        <v>2021</v>
      </c>
      <c r="H6">
        <v>2022</v>
      </c>
      <c r="I6">
        <v>2023</v>
      </c>
    </row>
    <row r="7" spans="1:17" x14ac:dyDescent="0.25">
      <c r="E7" t="s">
        <v>237</v>
      </c>
      <c r="F7" s="126">
        <f>AVERAGE(D3:L3)</f>
        <v>8.5863174613776891E-2</v>
      </c>
      <c r="G7">
        <f>L2*(1+$F$7)</f>
        <v>155294.72191738928</v>
      </c>
      <c r="H7">
        <f>M2*(1+$F$7)</f>
        <v>168628.81974198</v>
      </c>
      <c r="I7">
        <f>N2*(1+$F$7)</f>
        <v>183107.82553640072</v>
      </c>
    </row>
    <row r="8" spans="1:17" x14ac:dyDescent="0.25">
      <c r="E8" t="s">
        <v>238</v>
      </c>
      <c r="F8" s="11">
        <f>GEOMEAN(D3:G3,I3:L3)</f>
        <v>9.4561738851648439E-2</v>
      </c>
      <c r="G8">
        <f>L2*(1+$F$8)</f>
        <v>156538.7470818685</v>
      </c>
      <c r="H8">
        <f>M2*(1+$F$8)</f>
        <v>169979.6608563808</v>
      </c>
      <c r="I8">
        <f>N2*(1+$F$8)</f>
        <v>184574.65415728281</v>
      </c>
    </row>
    <row r="9" spans="1:17" x14ac:dyDescent="0.25">
      <c r="E9" s="127" t="s">
        <v>239</v>
      </c>
      <c r="F9" s="126">
        <f>MIN(D3:L3)</f>
        <v>-8.8266723658901425E-2</v>
      </c>
      <c r="G9">
        <f>L2*(1+$F$9)</f>
        <v>130391.53451592222</v>
      </c>
      <c r="H9">
        <f>M2*(1+$F$9)</f>
        <v>141587.36561222113</v>
      </c>
      <c r="I9">
        <f>N2*(1+$F$9)</f>
        <v>153744.50630888794</v>
      </c>
      <c r="O9">
        <v>125843</v>
      </c>
      <c r="P9">
        <f>P10+P11</f>
        <v>143606.94053187664</v>
      </c>
    </row>
    <row r="10" spans="1:17" x14ac:dyDescent="0.25">
      <c r="E10" s="127" t="s">
        <v>240</v>
      </c>
      <c r="F10" s="126">
        <f>MAX(D3:L3)</f>
        <v>0.22690383546414683</v>
      </c>
      <c r="G10">
        <f>L2*(1+$F$10)</f>
        <v>175465.65202890497</v>
      </c>
      <c r="H10">
        <f>M2*(1+$F$10)</f>
        <v>190531.68994778302</v>
      </c>
      <c r="I10">
        <f>N2*(1+$F$10)</f>
        <v>206891.34571122751</v>
      </c>
      <c r="O10">
        <v>92126</v>
      </c>
      <c r="P10">
        <v>104982</v>
      </c>
    </row>
    <row r="11" spans="1:17" x14ac:dyDescent="0.25">
      <c r="E11" t="s">
        <v>247</v>
      </c>
      <c r="F11" s="11">
        <f>(L2/C2)^J11-1</f>
        <v>8.2717756813802223E-2</v>
      </c>
      <c r="G11">
        <f>L2*(1+$F$11)</f>
        <v>154844.87999072592</v>
      </c>
      <c r="H11">
        <f>M2*(1+$F$11)</f>
        <v>168140.35295941893</v>
      </c>
      <c r="I11">
        <f>N2*(1+$F$11)</f>
        <v>182577.41744519558</v>
      </c>
      <c r="J11" s="128">
        <f>1/9</f>
        <v>0.1111111111111111</v>
      </c>
      <c r="O11">
        <f>O9-O10</f>
        <v>33717</v>
      </c>
      <c r="P11">
        <f>O11*(1+Q15)</f>
        <v>38624.940531876622</v>
      </c>
    </row>
    <row r="12" spans="1:17" x14ac:dyDescent="0.25">
      <c r="E12" t="s">
        <v>241</v>
      </c>
      <c r="F12" s="14"/>
      <c r="G12">
        <f>FORECAST(G6,$C$2:$L$2,$C$1:$L$1)</f>
        <v>135179.40000000037</v>
      </c>
      <c r="H12">
        <f>FORECAST(H6,$C$2:$L$2,$C$1:$L$1)</f>
        <v>142368.09090909176</v>
      </c>
      <c r="I12">
        <f>FORECAST(I6,$C$2:$L$2,$C$1:$L$1)</f>
        <v>149556.78181818128</v>
      </c>
      <c r="J12">
        <v>135179.4</v>
      </c>
      <c r="K12">
        <v>142368.090909091</v>
      </c>
      <c r="L12">
        <v>149556.781818182</v>
      </c>
      <c r="N12">
        <f>TREND($C$2:$L$2,$C$1:$L$1,M1)</f>
        <v>135179.40000000037</v>
      </c>
    </row>
    <row r="13" spans="1:17" x14ac:dyDescent="0.25">
      <c r="E13" t="s">
        <v>242</v>
      </c>
      <c r="G13">
        <f>GROWTH($C$2:$L$2,$C$1:$L$1,G6)</f>
        <v>138830.60100731102</v>
      </c>
      <c r="H13">
        <f>GROWTH($C$2:$L$2,$C$1:$L$1,H6)</f>
        <v>149248.16957774444</v>
      </c>
      <c r="I13">
        <f>GROWTH($C$2:$L$2,$C$1:$L$1,I6)</f>
        <v>160447.45150339097</v>
      </c>
    </row>
    <row r="14" spans="1:17" x14ac:dyDescent="0.25">
      <c r="E14" t="s">
        <v>243</v>
      </c>
      <c r="G14">
        <v>128393.35274652552</v>
      </c>
    </row>
    <row r="15" spans="1:17" x14ac:dyDescent="0.25">
      <c r="E15" t="s">
        <v>245</v>
      </c>
      <c r="G15">
        <f>L2*(1+G16)</f>
        <v>158846.7605</v>
      </c>
      <c r="H15">
        <f>M2*(1+H16)</f>
        <v>174287.266407886</v>
      </c>
      <c r="I15">
        <f>N2*(1+I16)</f>
        <v>167920.57869906368</v>
      </c>
      <c r="O15">
        <v>30571</v>
      </c>
      <c r="P15">
        <v>35021</v>
      </c>
      <c r="Q15" s="11">
        <f>P15/O15-1</f>
        <v>0.14556278826338698</v>
      </c>
    </row>
    <row r="16" spans="1:17" x14ac:dyDescent="0.25">
      <c r="E16" t="s">
        <v>246</v>
      </c>
      <c r="G16" s="11">
        <v>0.11070000000000001</v>
      </c>
      <c r="H16" s="11">
        <v>0.12230000000000001</v>
      </c>
      <c r="I16" s="11">
        <v>-4.1999999999999997E-3</v>
      </c>
    </row>
    <row r="21" spans="2:13" ht="15.75" thickBot="1" x14ac:dyDescent="0.3">
      <c r="B21" t="s">
        <v>97</v>
      </c>
      <c r="D21">
        <v>2011</v>
      </c>
      <c r="E21">
        <v>2012</v>
      </c>
      <c r="F21">
        <v>2013</v>
      </c>
      <c r="G21">
        <v>2014</v>
      </c>
      <c r="H21">
        <v>2015</v>
      </c>
      <c r="I21">
        <v>2016</v>
      </c>
      <c r="J21">
        <v>2017</v>
      </c>
      <c r="K21">
        <v>2018</v>
      </c>
      <c r="L21">
        <v>2019</v>
      </c>
      <c r="M21">
        <v>2020</v>
      </c>
    </row>
    <row r="22" spans="2:13" ht="15.75" thickBot="1" x14ac:dyDescent="0.3">
      <c r="B22" t="s">
        <v>10</v>
      </c>
      <c r="D22">
        <v>69943</v>
      </c>
      <c r="E22">
        <v>73723</v>
      </c>
      <c r="F22">
        <v>77849</v>
      </c>
      <c r="G22">
        <v>86833</v>
      </c>
      <c r="H22">
        <v>93580</v>
      </c>
      <c r="I22" s="122">
        <v>85320</v>
      </c>
      <c r="J22" s="123">
        <v>89950</v>
      </c>
      <c r="K22" s="123">
        <v>110360</v>
      </c>
      <c r="L22" s="123">
        <v>125843</v>
      </c>
      <c r="M22" s="123">
        <v>143015</v>
      </c>
    </row>
  </sheetData>
  <dataValidations count="1">
    <dataValidation type="list" allowBlank="1" showInputMessage="1" showErrorMessage="1" sqref="B2">
      <formula1>$E$7:$E$15</formula1>
    </dataValidation>
  </dataValidations>
  <pageMargins left="0.7" right="0.7" top="0.75" bottom="0.75" header="0.3" footer="0.3"/>
  <pageSetup orientation="portrait" r:id="rId1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K87"/>
  <sheetViews>
    <sheetView topLeftCell="A57" workbookViewId="0">
      <selection activeCell="F73" sqref="F73"/>
    </sheetView>
  </sheetViews>
  <sheetFormatPr defaultRowHeight="15" x14ac:dyDescent="0.25"/>
  <cols>
    <col min="1" max="1" width="69.42578125" customWidth="1"/>
    <col min="2" max="2" width="9.5703125" bestFit="1" customWidth="1"/>
    <col min="3" max="5" width="12.42578125" bestFit="1" customWidth="1"/>
    <col min="6" max="6" width="12.140625" bestFit="1" customWidth="1"/>
    <col min="7" max="8" width="13.140625" bestFit="1" customWidth="1"/>
    <col min="9" max="9" width="10.5703125" bestFit="1" customWidth="1"/>
  </cols>
  <sheetData>
    <row r="1" spans="1:8" s="10" customFormat="1" ht="15.75" thickBot="1" x14ac:dyDescent="0.3">
      <c r="A1" s="10" t="s">
        <v>90</v>
      </c>
      <c r="B1" s="10">
        <v>2017</v>
      </c>
      <c r="C1" s="10">
        <v>2018</v>
      </c>
      <c r="D1" s="10">
        <v>2019</v>
      </c>
      <c r="E1" s="10">
        <f>D1+1</f>
        <v>2020</v>
      </c>
      <c r="F1" s="10">
        <f>E1+1</f>
        <v>2021</v>
      </c>
      <c r="G1" s="10">
        <f>F1+1</f>
        <v>2022</v>
      </c>
      <c r="H1" s="10">
        <f>G1+1</f>
        <v>2023</v>
      </c>
    </row>
    <row r="3" spans="1:8" x14ac:dyDescent="0.25">
      <c r="A3" t="s">
        <v>10</v>
      </c>
      <c r="B3" s="126">
        <f>IS!B3/IS!$B$3</f>
        <v>1</v>
      </c>
      <c r="C3" s="126">
        <f>IS!C3/IS!$C$3</f>
        <v>1</v>
      </c>
      <c r="D3" s="126">
        <f>IS!D3/IS!$D$3</f>
        <v>1</v>
      </c>
      <c r="E3" s="126">
        <f>IS!E3/IS!$E$3</f>
        <v>1</v>
      </c>
      <c r="F3" s="126">
        <f>E3</f>
        <v>1</v>
      </c>
      <c r="G3" s="126">
        <f>F3</f>
        <v>1</v>
      </c>
      <c r="H3" s="126">
        <f>G3</f>
        <v>1</v>
      </c>
    </row>
    <row r="4" spans="1:8" x14ac:dyDescent="0.25">
      <c r="A4" t="s">
        <v>11</v>
      </c>
      <c r="B4" s="126">
        <f>IS!B4/IS!$B$3</f>
        <v>0.35477524308539832</v>
      </c>
      <c r="C4" s="126">
        <f>IS!C4/IS!$C$3</f>
        <v>0.34752627763682492</v>
      </c>
      <c r="D4" s="126">
        <f>IS!D4/IS!$D$3</f>
        <v>0.34098042799361111</v>
      </c>
      <c r="E4" s="126">
        <f>IS!E4/IS!$E$3</f>
        <v>0.32218998007202043</v>
      </c>
      <c r="F4" s="126">
        <f t="shared" ref="F4:H9" si="0">E4</f>
        <v>0.32218998007202043</v>
      </c>
      <c r="G4" s="126">
        <f t="shared" si="0"/>
        <v>0.32218998007202043</v>
      </c>
      <c r="H4" s="126">
        <f t="shared" si="0"/>
        <v>0.32218998007202043</v>
      </c>
    </row>
    <row r="5" spans="1:8" x14ac:dyDescent="0.25">
      <c r="A5" t="s">
        <v>1</v>
      </c>
      <c r="B5" s="126">
        <f>IS!B6/IS!B3</f>
        <v>0.13499911981857907</v>
      </c>
      <c r="C5" s="126">
        <f>IS!C6/IS!C3</f>
        <v>0.13343602754621239</v>
      </c>
      <c r="D5" s="126">
        <f>IS!D6/IS!D3</f>
        <v>0.13410360528595155</v>
      </c>
      <c r="E5" s="126">
        <f>IS!E6/IS!E3</f>
        <v>0.1347341187987274</v>
      </c>
      <c r="F5" s="126">
        <f t="shared" si="0"/>
        <v>0.1347341187987274</v>
      </c>
      <c r="G5" s="126">
        <f t="shared" si="0"/>
        <v>0.1347341187987274</v>
      </c>
      <c r="H5" s="126">
        <f t="shared" si="0"/>
        <v>0.1347341187987274</v>
      </c>
    </row>
    <row r="6" spans="1:8" x14ac:dyDescent="0.25">
      <c r="A6" t="s">
        <v>12</v>
      </c>
      <c r="B6" s="126">
        <f>IS!B7/IS!B3</f>
        <v>0.16009982292820826</v>
      </c>
      <c r="C6" s="126">
        <f>IS!C7/IS!C3</f>
        <v>0.15829104748097136</v>
      </c>
      <c r="D6" s="126">
        <f>IS!D7/IS!D3</f>
        <v>0.14472795467368069</v>
      </c>
      <c r="E6" s="126">
        <f>IS!E7/IS!E3</f>
        <v>0.13703457679264414</v>
      </c>
      <c r="F6" s="126">
        <f t="shared" si="0"/>
        <v>0.13703457679264414</v>
      </c>
      <c r="G6" s="126">
        <f t="shared" si="0"/>
        <v>0.13703457679264414</v>
      </c>
      <c r="H6" s="126">
        <f t="shared" si="0"/>
        <v>0.13703457679264414</v>
      </c>
    </row>
    <row r="7" spans="1:8" x14ac:dyDescent="0.25">
      <c r="A7" t="s">
        <v>5</v>
      </c>
      <c r="B7" s="126">
        <f>IS!B8/IS!B3</f>
        <v>4.6401093495977055E-2</v>
      </c>
      <c r="C7" s="126">
        <f>IS!C8/IS!C3</f>
        <v>4.3077201884740846E-2</v>
      </c>
      <c r="D7" s="126">
        <f>IS!D8/IS!D3</f>
        <v>3.8818209991815199E-2</v>
      </c>
      <c r="E7" s="126">
        <f>IS!E8/IS!E3</f>
        <v>3.5737510051393209E-2</v>
      </c>
      <c r="F7" s="126">
        <f t="shared" si="0"/>
        <v>3.5737510051393209E-2</v>
      </c>
      <c r="G7" s="126">
        <f t="shared" si="0"/>
        <v>3.5737510051393209E-2</v>
      </c>
      <c r="H7" s="126">
        <f t="shared" si="0"/>
        <v>3.5737510051393209E-2</v>
      </c>
    </row>
    <row r="8" spans="1:8" x14ac:dyDescent="0.25">
      <c r="A8" t="s">
        <v>13</v>
      </c>
      <c r="B8" s="126">
        <f>IS!B9/IS!B3</f>
        <v>3.1686531153244761E-3</v>
      </c>
      <c r="C8" s="126">
        <f>IS!C9/IS!C3</f>
        <v>0</v>
      </c>
      <c r="D8" s="126">
        <f>IS!D9/IS!D3</f>
        <v>0</v>
      </c>
      <c r="E8" s="126">
        <f>IS!E9/IS!E3</f>
        <v>0</v>
      </c>
      <c r="F8" s="126">
        <f t="shared" si="0"/>
        <v>0</v>
      </c>
      <c r="G8" s="126">
        <f t="shared" si="0"/>
        <v>0</v>
      </c>
      <c r="H8" s="126">
        <f t="shared" si="0"/>
        <v>0</v>
      </c>
    </row>
    <row r="9" spans="1:8" x14ac:dyDescent="0.25">
      <c r="A9" t="s">
        <v>14</v>
      </c>
      <c r="B9" s="126">
        <f>IS!B13/IS!B3</f>
        <v>3.2080024023775251E-2</v>
      </c>
      <c r="C9" s="126">
        <f>IS!C13/IS!C3</f>
        <v>3.7595143167814427E-2</v>
      </c>
      <c r="D9" s="126">
        <f>IS!D13/IS!D3</f>
        <v>2.7136988151903563E-2</v>
      </c>
      <c r="E9" s="126">
        <f>IS!E13/IS!E3</f>
        <v>1.8655385798692446E-2</v>
      </c>
      <c r="F9" s="126">
        <f t="shared" si="0"/>
        <v>1.8655385798692446E-2</v>
      </c>
      <c r="G9" s="126">
        <f t="shared" si="0"/>
        <v>1.8655385798692446E-2</v>
      </c>
      <c r="H9" s="126">
        <f t="shared" si="0"/>
        <v>1.8655385798692446E-2</v>
      </c>
    </row>
    <row r="11" spans="1:8" ht="15.75" thickBot="1" x14ac:dyDescent="0.3">
      <c r="A11" s="10" t="s">
        <v>278</v>
      </c>
    </row>
    <row r="12" spans="1:8" x14ac:dyDescent="0.25">
      <c r="A12" s="1" t="s">
        <v>279</v>
      </c>
      <c r="B12" s="11">
        <f>IS!B15/IS!B14</f>
        <v>0.14755359352530015</v>
      </c>
      <c r="C12" s="11">
        <f>IS!C15/IS!C14</f>
        <v>0.5456763722103416</v>
      </c>
      <c r="D12" s="11">
        <f>IS!D15/IS!D14</f>
        <v>0.10181285478850027</v>
      </c>
      <c r="E12" s="11">
        <f>IS!E15/IS!E14</f>
        <v>0.16507655177615205</v>
      </c>
    </row>
    <row r="13" spans="1:8" x14ac:dyDescent="0.25">
      <c r="A13" s="1" t="s">
        <v>280</v>
      </c>
      <c r="F13" s="14">
        <v>0.21</v>
      </c>
      <c r="G13" s="14">
        <v>0.21</v>
      </c>
      <c r="H13" s="14">
        <v>0.21</v>
      </c>
    </row>
    <row r="16" spans="1:8" x14ac:dyDescent="0.25">
      <c r="A16" s="137" t="s">
        <v>281</v>
      </c>
      <c r="B16" s="138">
        <v>2017</v>
      </c>
      <c r="C16" s="138">
        <v>2018</v>
      </c>
      <c r="D16" s="138">
        <v>2019</v>
      </c>
      <c r="E16" s="138">
        <v>2020</v>
      </c>
      <c r="F16" s="138">
        <v>2021</v>
      </c>
      <c r="G16" s="138">
        <v>2022</v>
      </c>
      <c r="H16" s="138">
        <v>2023</v>
      </c>
    </row>
    <row r="17" spans="1:11" x14ac:dyDescent="0.25">
      <c r="A17" s="139" t="s">
        <v>282</v>
      </c>
      <c r="B17" s="139"/>
      <c r="C17" s="139"/>
      <c r="D17" s="139"/>
      <c r="E17" s="139"/>
      <c r="F17" s="139"/>
      <c r="G17" s="139"/>
      <c r="H17" s="139"/>
    </row>
    <row r="18" spans="1:11" x14ac:dyDescent="0.25">
      <c r="A18" s="140"/>
      <c r="B18" s="140"/>
      <c r="C18" s="140"/>
      <c r="D18" s="140"/>
      <c r="E18" s="140"/>
      <c r="F18" s="140"/>
      <c r="G18" s="140"/>
      <c r="H18" s="140"/>
    </row>
    <row r="19" spans="1:11" x14ac:dyDescent="0.25">
      <c r="A19" s="141" t="s">
        <v>24</v>
      </c>
      <c r="B19" s="142">
        <f>BS!B19</f>
        <v>7390</v>
      </c>
      <c r="C19" s="142">
        <f>BS!C19</f>
        <v>8617</v>
      </c>
      <c r="D19" s="142">
        <f>BS!D19</f>
        <v>9382</v>
      </c>
      <c r="E19" s="149">
        <f>BS!E19</f>
        <v>12530</v>
      </c>
      <c r="F19" s="149">
        <f>(2*IS!F4/CS_1!F20)-CS_1!E19</f>
        <v>11263.433882137077</v>
      </c>
      <c r="G19" s="149">
        <f>(2*IS!G4/CS_1!G20)-CS_1!F19</f>
        <v>14572.979768083293</v>
      </c>
      <c r="H19" s="149">
        <f>(2*IS!H4/CS_1!H20)-CS_1!G19</f>
        <v>13481.830378779716</v>
      </c>
    </row>
    <row r="20" spans="1:11" x14ac:dyDescent="0.25">
      <c r="A20" s="143" t="s">
        <v>283</v>
      </c>
      <c r="B20" s="144"/>
      <c r="C20" s="145">
        <f>IS!C4/AVERAGE(CS_1!B19:C19)</f>
        <v>4.7920284875367027</v>
      </c>
      <c r="D20" s="145">
        <f>IS!D4/AVERAGE(CS_1!C19:D19)</f>
        <v>4.7680426690371691</v>
      </c>
      <c r="E20" s="145">
        <f>IS!E4/AVERAGE(CS_1!D19:E19)</f>
        <v>4.2057320189850307</v>
      </c>
      <c r="F20" s="145">
        <f>E20</f>
        <v>4.2057320189850307</v>
      </c>
      <c r="G20" s="145">
        <f>F20</f>
        <v>4.2057320189850307</v>
      </c>
      <c r="H20" s="145">
        <f>G20</f>
        <v>4.2057320189850307</v>
      </c>
      <c r="I20" s="135">
        <f>365/C20</f>
        <v>76.168161551899459</v>
      </c>
      <c r="J20" s="135">
        <f>365/D20</f>
        <v>76.55132836168724</v>
      </c>
      <c r="K20" s="135">
        <f>365/E20</f>
        <v>86.786318850644562</v>
      </c>
    </row>
    <row r="21" spans="1:11" x14ac:dyDescent="0.25">
      <c r="A21" s="141" t="s">
        <v>284</v>
      </c>
      <c r="B21" s="142">
        <f>BS!B7</f>
        <v>22431</v>
      </c>
      <c r="C21" s="142">
        <f>BS!C7</f>
        <v>26481</v>
      </c>
      <c r="D21" s="142">
        <f>BS!D7</f>
        <v>29524</v>
      </c>
      <c r="E21" s="149">
        <f>BS!E7</f>
        <v>32011</v>
      </c>
      <c r="F21" s="149">
        <f>(2*IS!F3/CS_1!F22)-CS_1!E21</f>
        <v>34807.590449858748</v>
      </c>
      <c r="G21" s="149">
        <f>(2*IS!G3/CS_1!G22)-CS_1!F21</f>
        <v>37748.256299242668</v>
      </c>
      <c r="H21" s="149">
        <f>(2*IS!H3/CS_1!H22)-CS_1!G21</f>
        <v>41037.465788527275</v>
      </c>
    </row>
    <row r="22" spans="1:11" x14ac:dyDescent="0.25">
      <c r="A22" s="146" t="s">
        <v>285</v>
      </c>
      <c r="B22" s="144"/>
      <c r="C22" s="145">
        <f>IS!C3/AVERAGE(CS_1!B21:C21)</f>
        <v>4.5125940464507686</v>
      </c>
      <c r="D22" s="145">
        <f>IS!D3/AVERAGE(CS_1!C21:D21)</f>
        <v>4.4939916078921529</v>
      </c>
      <c r="E22" s="145">
        <f>IS!E3/AVERAGE(CS_1!D21:E21)</f>
        <v>4.6482489640042255</v>
      </c>
      <c r="F22" s="145">
        <f>E22</f>
        <v>4.6482489640042255</v>
      </c>
      <c r="G22" s="145">
        <f>F22</f>
        <v>4.6482489640042255</v>
      </c>
      <c r="H22" s="145">
        <f>G22</f>
        <v>4.6482489640042255</v>
      </c>
      <c r="I22" s="135">
        <f>365/C22</f>
        <v>80.88474084813339</v>
      </c>
      <c r="J22" s="135">
        <f>365/D22</f>
        <v>81.219555318929139</v>
      </c>
      <c r="K22" s="135">
        <f>365/E22</f>
        <v>78.524193266440577</v>
      </c>
    </row>
    <row r="23" spans="1:11" x14ac:dyDescent="0.25">
      <c r="A23" s="141" t="s">
        <v>19</v>
      </c>
      <c r="B23" s="142">
        <f>BS!B8</f>
        <v>2181</v>
      </c>
      <c r="C23" s="142">
        <f>BS!C8</f>
        <v>2662</v>
      </c>
      <c r="D23" s="142">
        <f>BS!D8</f>
        <v>2063</v>
      </c>
      <c r="E23" s="149">
        <f>BS!E8</f>
        <v>1895</v>
      </c>
      <c r="F23" s="149">
        <f>(2*IS!F4/CS_1!F24)-CS_1!E23</f>
        <v>2402.8464451213285</v>
      </c>
      <c r="G23" s="149">
        <f>(2*IS!G4/CS_1!G24)-CS_1!F23</f>
        <v>2264.0267397806529</v>
      </c>
      <c r="H23" s="149">
        <f>(2*IS!H4/CS_1!H24)-CS_1!G23</f>
        <v>2803.5589922969202</v>
      </c>
    </row>
    <row r="24" spans="1:11" x14ac:dyDescent="0.25">
      <c r="A24" s="147" t="s">
        <v>286</v>
      </c>
      <c r="B24" s="144"/>
      <c r="C24" s="145">
        <f>IS!C4/AVERAGE(CS_1!B23:C23)</f>
        <v>15.838529836877969</v>
      </c>
      <c r="D24" s="145">
        <f>IS!D4/AVERAGE(CS_1!C23:D23)</f>
        <v>18.162962962962961</v>
      </c>
      <c r="E24" s="145">
        <f>IS!E4/AVERAGE(CS_1!D23:E23)</f>
        <v>23.283476503284486</v>
      </c>
      <c r="F24" s="145">
        <f>E24</f>
        <v>23.283476503284486</v>
      </c>
      <c r="G24" s="145">
        <f>F24</f>
        <v>23.283476503284486</v>
      </c>
      <c r="H24" s="145">
        <f>G24</f>
        <v>23.283476503284486</v>
      </c>
      <c r="I24" s="135">
        <f>365/C24</f>
        <v>23.045068182410763</v>
      </c>
      <c r="J24" s="135">
        <f>365/D24</f>
        <v>20.09584013050571</v>
      </c>
      <c r="K24" s="135">
        <f>365/E24</f>
        <v>15.676353140327272</v>
      </c>
    </row>
    <row r="25" spans="1:11" x14ac:dyDescent="0.25">
      <c r="A25" s="148"/>
      <c r="B25" s="140"/>
      <c r="C25" s="140"/>
      <c r="D25" s="140"/>
      <c r="E25" s="140"/>
      <c r="F25" s="140"/>
      <c r="G25" s="140"/>
      <c r="H25" s="140"/>
    </row>
    <row r="26" spans="1:11" x14ac:dyDescent="0.25">
      <c r="A26" s="1" t="s">
        <v>290</v>
      </c>
      <c r="B26" s="152">
        <f>BS!B5/IS!B$3</f>
        <v>1.297677356556316</v>
      </c>
      <c r="C26" s="152">
        <f>BS!C5/IS!C$3</f>
        <v>1.1038600942370425</v>
      </c>
      <c r="D26" s="152">
        <f>BS!D5/IS!D$3</f>
        <v>0.9731411361776181</v>
      </c>
      <c r="E26" s="152">
        <f>BS!E5/IS!E$3</f>
        <v>0.85970702373876862</v>
      </c>
      <c r="F26" s="152">
        <f t="shared" ref="F26:H27" si="1">E26</f>
        <v>0.85970702373876862</v>
      </c>
      <c r="G26" s="152">
        <f t="shared" si="1"/>
        <v>0.85970702373876862</v>
      </c>
      <c r="H26" s="152">
        <f t="shared" si="1"/>
        <v>0.85970702373876862</v>
      </c>
    </row>
    <row r="27" spans="1:11" x14ac:dyDescent="0.25">
      <c r="A27" s="141" t="s">
        <v>287</v>
      </c>
      <c r="B27" s="152">
        <f>BS!B9/IS!B3</f>
        <v>5.284195048202877E-2</v>
      </c>
      <c r="C27" s="152">
        <f>BS!C9/IS!C3</f>
        <v>6.1172526277636828E-2</v>
      </c>
      <c r="D27" s="152">
        <f>BS!D9/IS!D3</f>
        <v>8.0624269923635E-2</v>
      </c>
      <c r="E27" s="152">
        <f>BS!E9/IS!E3</f>
        <v>8.0285284760339831E-2</v>
      </c>
      <c r="F27" s="152">
        <f t="shared" si="1"/>
        <v>8.0285284760339831E-2</v>
      </c>
      <c r="G27" s="152">
        <f t="shared" si="1"/>
        <v>8.0285284760339831E-2</v>
      </c>
      <c r="H27" s="152">
        <f t="shared" si="1"/>
        <v>8.0285284760339831E-2</v>
      </c>
    </row>
    <row r="28" spans="1:11" x14ac:dyDescent="0.25">
      <c r="A28" s="1" t="s">
        <v>291</v>
      </c>
      <c r="B28" s="152">
        <f>BS!B20/IS!B$3</f>
        <v>9.3941245301384479E-2</v>
      </c>
      <c r="C28" s="152">
        <f>BS!C20/IS!C$3</f>
        <v>0</v>
      </c>
      <c r="D28" s="152">
        <f>BS!D20/IS!D$3</f>
        <v>0</v>
      </c>
      <c r="E28" s="152">
        <f>D28</f>
        <v>0</v>
      </c>
      <c r="F28" s="152">
        <f>E28</f>
        <v>0</v>
      </c>
      <c r="G28" s="152">
        <f>F28</f>
        <v>0</v>
      </c>
      <c r="H28" s="152">
        <f>G28</f>
        <v>0</v>
      </c>
    </row>
    <row r="29" spans="1:11" x14ac:dyDescent="0.25">
      <c r="A29" s="1" t="s">
        <v>292</v>
      </c>
      <c r="B29" s="152">
        <f>BS!B21/IS!B$3</f>
        <v>1.0862474241749593E-2</v>
      </c>
      <c r="C29" s="152">
        <f>BS!C21/IS!C$3</f>
        <v>3.6226893802102214E-2</v>
      </c>
      <c r="D29" s="152">
        <f>BS!D21/IS!D$3</f>
        <v>4.3832394332620803E-2</v>
      </c>
      <c r="E29" s="152">
        <f>BS!E21/IS!E$3</f>
        <v>2.6214033492990247E-2</v>
      </c>
      <c r="F29" s="152">
        <f t="shared" ref="F29:H33" si="2">E29</f>
        <v>2.6214033492990247E-2</v>
      </c>
      <c r="G29" s="152">
        <f t="shared" si="2"/>
        <v>2.6214033492990247E-2</v>
      </c>
      <c r="H29" s="152">
        <f t="shared" si="2"/>
        <v>2.6214033492990247E-2</v>
      </c>
    </row>
    <row r="30" spans="1:11" x14ac:dyDescent="0.25">
      <c r="A30" s="1" t="s">
        <v>293</v>
      </c>
      <c r="B30" s="152">
        <f>BS!B22/IS!B$3</f>
        <v>6.025618456886643E-2</v>
      </c>
      <c r="C30" s="152">
        <f>BS!C22/IS!C$3</f>
        <v>5.5300833635375135E-2</v>
      </c>
      <c r="D30" s="152">
        <f>BS!D22/IS!D$3</f>
        <v>5.4273976303807127E-2</v>
      </c>
      <c r="E30" s="152">
        <f>BS!E22/IS!E$3</f>
        <v>5.5057161836171029E-2</v>
      </c>
      <c r="F30" s="152">
        <f t="shared" si="2"/>
        <v>5.5057161836171029E-2</v>
      </c>
      <c r="G30" s="152">
        <f t="shared" si="2"/>
        <v>5.5057161836171029E-2</v>
      </c>
      <c r="H30" s="152">
        <f t="shared" si="2"/>
        <v>5.5057161836171029E-2</v>
      </c>
    </row>
    <row r="31" spans="1:11" x14ac:dyDescent="0.25">
      <c r="A31" s="1" t="s">
        <v>294</v>
      </c>
      <c r="B31" s="152">
        <f>BS!B23/IS!B$3</f>
        <v>7.4349442379182153E-3</v>
      </c>
      <c r="C31" s="152">
        <f>BS!C23/IS!C$3</f>
        <v>1.9218919898513955E-2</v>
      </c>
      <c r="D31" s="152">
        <f>BS!D23/IS!D$3</f>
        <v>4.5016409335441779E-2</v>
      </c>
      <c r="E31" s="152">
        <f>BS!E23/IS!E$3</f>
        <v>1.4893542635387896E-2</v>
      </c>
      <c r="F31" s="152">
        <f t="shared" si="2"/>
        <v>1.4893542635387896E-2</v>
      </c>
      <c r="G31" s="152">
        <f t="shared" si="2"/>
        <v>1.4893542635387896E-2</v>
      </c>
      <c r="H31" s="152">
        <f t="shared" si="2"/>
        <v>1.4893542635387896E-2</v>
      </c>
    </row>
    <row r="32" spans="1:11" x14ac:dyDescent="0.25">
      <c r="A32" s="1" t="s">
        <v>295</v>
      </c>
      <c r="B32" s="152">
        <f>BS!B24/IS!B$3</f>
        <v>0.24865642894864917</v>
      </c>
      <c r="C32" s="152">
        <f>BS!C24/IS!C$3</f>
        <v>0.2619155491119971</v>
      </c>
      <c r="D32" s="152">
        <f>BS!D24/IS!D$3</f>
        <v>0.25965687404146437</v>
      </c>
      <c r="E32" s="152">
        <f>BS!E24/IS!E$3</f>
        <v>0.25172184735866865</v>
      </c>
      <c r="F32" s="152">
        <f t="shared" si="2"/>
        <v>0.25172184735866865</v>
      </c>
      <c r="G32" s="152">
        <f t="shared" si="2"/>
        <v>0.25172184735866865</v>
      </c>
      <c r="H32" s="152">
        <f t="shared" si="2"/>
        <v>0.25172184735866865</v>
      </c>
    </row>
    <row r="33" spans="1:8" x14ac:dyDescent="0.25">
      <c r="A33" s="1" t="s">
        <v>288</v>
      </c>
      <c r="B33" s="152">
        <f>BS!B25/IS!B$3</f>
        <v>7.9568400451481294E-2</v>
      </c>
      <c r="C33" s="152">
        <f>BS!C25/IS!C$3</f>
        <v>7.9231605654222548E-2</v>
      </c>
      <c r="D33" s="152">
        <f>BS!D25/IS!D$3</f>
        <v>7.4306874438784837E-2</v>
      </c>
      <c r="E33" s="152">
        <f>BS!E25/IS!E$3</f>
        <v>7.0111526762926965E-2</v>
      </c>
      <c r="F33" s="152">
        <f t="shared" si="2"/>
        <v>7.0111526762926965E-2</v>
      </c>
      <c r="G33" s="152">
        <f t="shared" si="2"/>
        <v>7.0111526762926965E-2</v>
      </c>
      <c r="H33" s="152">
        <f t="shared" si="2"/>
        <v>7.0111526762926965E-2</v>
      </c>
    </row>
    <row r="34" spans="1:8" x14ac:dyDescent="0.25">
      <c r="A34" s="150" t="s">
        <v>289</v>
      </c>
      <c r="B34" s="151"/>
      <c r="C34" s="151"/>
      <c r="D34" s="151"/>
      <c r="E34" s="151"/>
      <c r="F34" s="151"/>
      <c r="G34" s="151"/>
      <c r="H34" s="151"/>
    </row>
    <row r="35" spans="1:8" ht="30" x14ac:dyDescent="0.25">
      <c r="A35" s="8" t="s">
        <v>296</v>
      </c>
      <c r="B35" s="153">
        <f>BS!B11/IS!B$3</f>
        <v>0.24576736287291215</v>
      </c>
      <c r="C35" s="153">
        <f>BS!C11/IS!C$3</f>
        <v>0.26694454512504528</v>
      </c>
      <c r="D35" s="153">
        <f>BS!D11/IS!D$3</f>
        <v>0.28986117622752161</v>
      </c>
      <c r="E35" s="153">
        <f>BS!E11/IS!E$3</f>
        <v>0.30871586896479392</v>
      </c>
      <c r="F35" s="154">
        <f t="shared" ref="F35:H46" si="3">E35</f>
        <v>0.30871586896479392</v>
      </c>
      <c r="G35" s="154">
        <f t="shared" si="3"/>
        <v>0.30871586896479392</v>
      </c>
      <c r="H35" s="154">
        <f t="shared" si="3"/>
        <v>0.30871586896479392</v>
      </c>
    </row>
    <row r="36" spans="1:8" x14ac:dyDescent="0.25">
      <c r="A36" s="1" t="s">
        <v>297</v>
      </c>
      <c r="B36" s="153">
        <f>BS!B12/IS!B$3</f>
        <v>6.7877520166509608E-2</v>
      </c>
      <c r="C36" s="153">
        <f>BS!C12/IS!C$3</f>
        <v>6.0583544762595143E-2</v>
      </c>
      <c r="D36" s="153">
        <f>BS!D12/IS!D$3</f>
        <v>5.8636555072590447E-2</v>
      </c>
      <c r="E36" s="153">
        <f>BS!E12/IS!E$3</f>
        <v>6.1203370275845194E-2</v>
      </c>
      <c r="F36" s="154">
        <f t="shared" si="3"/>
        <v>6.1203370275845194E-2</v>
      </c>
      <c r="G36" s="154">
        <f t="shared" si="3"/>
        <v>6.1203370275845194E-2</v>
      </c>
      <c r="H36" s="154">
        <f t="shared" si="3"/>
        <v>6.1203370275845194E-2</v>
      </c>
    </row>
    <row r="37" spans="1:8" x14ac:dyDescent="0.25">
      <c r="A37" s="1" t="s">
        <v>298</v>
      </c>
      <c r="B37" s="153">
        <f>BS!B13/IS!B$3</f>
        <v>6.2368619979082746E-2</v>
      </c>
      <c r="C37" s="153">
        <f>BS!C13/IS!C$3</f>
        <v>1.687205509242479E-2</v>
      </c>
      <c r="D37" s="153">
        <f>BS!D13/IS!D$3</f>
        <v>2.1050038540085664E-2</v>
      </c>
      <c r="E37" s="153">
        <f>BS!E13/IS!E$3</f>
        <v>2.0732091039401462E-2</v>
      </c>
      <c r="F37" s="154">
        <f t="shared" si="3"/>
        <v>2.0732091039401462E-2</v>
      </c>
      <c r="G37" s="154">
        <f t="shared" si="3"/>
        <v>2.0732091039401462E-2</v>
      </c>
      <c r="H37" s="154">
        <f t="shared" si="3"/>
        <v>2.0732091039401462E-2</v>
      </c>
    </row>
    <row r="38" spans="1:8" x14ac:dyDescent="0.25">
      <c r="A38" s="1" t="s">
        <v>299</v>
      </c>
      <c r="B38" s="153">
        <f>BS!B14/IS!B$3</f>
        <v>0.36369096312557603</v>
      </c>
      <c r="C38" s="153">
        <f>BS!C14/IS!C$3</f>
        <v>0.32333272924972817</v>
      </c>
      <c r="D38" s="153">
        <f>BS!D14/IS!D$3</f>
        <v>0.33395580207083431</v>
      </c>
      <c r="E38" s="153">
        <f>BS!E14/IS!E$3</f>
        <v>0.30312205013460125</v>
      </c>
      <c r="F38" s="154">
        <f t="shared" si="3"/>
        <v>0.30312205013460125</v>
      </c>
      <c r="G38" s="154">
        <f t="shared" si="3"/>
        <v>0.30312205013460125</v>
      </c>
      <c r="H38" s="154">
        <f t="shared" si="3"/>
        <v>0.30312205013460125</v>
      </c>
    </row>
    <row r="39" spans="1:8" x14ac:dyDescent="0.25">
      <c r="A39" s="1" t="s">
        <v>300</v>
      </c>
      <c r="B39" s="153">
        <f>BS!B15/IS!B$3</f>
        <v>0.10464839341002993</v>
      </c>
      <c r="C39" s="153">
        <f>BS!C15/IS!C$3</f>
        <v>7.2970279086625595E-2</v>
      </c>
      <c r="D39" s="153">
        <f>BS!D15/IS!D$3</f>
        <v>6.1584672965520532E-2</v>
      </c>
      <c r="E39" s="153">
        <f>BS!E15/IS!E$3</f>
        <v>4.9211621158619726E-2</v>
      </c>
      <c r="F39" s="154">
        <f t="shared" si="3"/>
        <v>4.9211621158619726E-2</v>
      </c>
      <c r="G39" s="154">
        <f t="shared" si="3"/>
        <v>4.9211621158619726E-2</v>
      </c>
      <c r="H39" s="154">
        <f t="shared" si="3"/>
        <v>4.9211621158619726E-2</v>
      </c>
    </row>
    <row r="40" spans="1:8" x14ac:dyDescent="0.25">
      <c r="A40" s="1" t="s">
        <v>301</v>
      </c>
      <c r="B40" s="153">
        <f>BS!B16/IS!B$3</f>
        <v>6.2917438982717386E-2</v>
      </c>
      <c r="C40" s="153">
        <f>BS!C16/IS!C$3</f>
        <v>6.7433852845233774E-2</v>
      </c>
      <c r="D40" s="153">
        <f>BS!D16/IS!D$3</f>
        <v>0.11699498581565919</v>
      </c>
      <c r="E40" s="153">
        <f>BS!E16/IS!E$3</f>
        <v>9.1864489738838581E-2</v>
      </c>
      <c r="F40" s="154">
        <f t="shared" si="3"/>
        <v>9.1864489738838581E-2</v>
      </c>
      <c r="G40" s="154">
        <f t="shared" si="3"/>
        <v>9.1864489738838581E-2</v>
      </c>
      <c r="H40" s="154">
        <f t="shared" si="3"/>
        <v>9.1864489738838581E-2</v>
      </c>
    </row>
    <row r="41" spans="1:8" x14ac:dyDescent="0.25">
      <c r="A41" s="1" t="s">
        <v>44</v>
      </c>
      <c r="B41" s="153">
        <f>BS!B27/IS!B$3</f>
        <v>0.78774166157542125</v>
      </c>
      <c r="C41" s="153">
        <f>BS!C27/IS!C$3</f>
        <v>0.65460311707140273</v>
      </c>
      <c r="D41" s="153">
        <f>BS!D27/IS!D$3</f>
        <v>0.52972354441645542</v>
      </c>
      <c r="E41" s="153">
        <f>BS!E27/IS!E$3</f>
        <v>0.41658567283152115</v>
      </c>
      <c r="F41" s="154">
        <f t="shared" si="3"/>
        <v>0.41658567283152115</v>
      </c>
      <c r="G41" s="154">
        <f t="shared" si="3"/>
        <v>0.41658567283152115</v>
      </c>
      <c r="H41" s="154">
        <f t="shared" si="3"/>
        <v>0.41658567283152115</v>
      </c>
    </row>
    <row r="42" spans="1:8" x14ac:dyDescent="0.25">
      <c r="A42" s="1" t="s">
        <v>45</v>
      </c>
      <c r="B42" s="153">
        <f>BS!B28/IS!B$3</f>
        <v>0.13963819366062274</v>
      </c>
      <c r="C42" s="153">
        <f>BS!C28/IS!C$3</f>
        <v>0.2742388546574846</v>
      </c>
      <c r="D42" s="153">
        <f>BS!D28/IS!D$3</f>
        <v>0.23530907559419276</v>
      </c>
      <c r="E42" s="153">
        <f>BS!E28/IS!E$3</f>
        <v>0.20579659476278711</v>
      </c>
      <c r="F42" s="154">
        <f t="shared" si="3"/>
        <v>0.20579659476278711</v>
      </c>
      <c r="G42" s="154">
        <f t="shared" si="3"/>
        <v>0.20579659476278711</v>
      </c>
      <c r="H42" s="154">
        <f t="shared" si="3"/>
        <v>0.20579659476278711</v>
      </c>
    </row>
    <row r="43" spans="1:8" x14ac:dyDescent="0.25">
      <c r="A43" s="1" t="s">
        <v>46</v>
      </c>
      <c r="B43" s="153">
        <f>BS!B29/IS!B$3</f>
        <v>2.7368464652949644E-2</v>
      </c>
      <c r="C43" s="153">
        <f>BS!C29/IS!C$3</f>
        <v>3.456868430590794E-2</v>
      </c>
      <c r="D43" s="153">
        <f>BS!D29/IS!D$3</f>
        <v>3.5997234649523611E-2</v>
      </c>
      <c r="E43" s="153">
        <f>BS!E29/IS!E$3</f>
        <v>2.2235429850015732E-2</v>
      </c>
      <c r="F43" s="154">
        <f t="shared" si="3"/>
        <v>2.2235429850015732E-2</v>
      </c>
      <c r="G43" s="154">
        <f t="shared" si="3"/>
        <v>2.2235429850015732E-2</v>
      </c>
      <c r="H43" s="154">
        <f t="shared" si="3"/>
        <v>2.2235429850015732E-2</v>
      </c>
    </row>
    <row r="44" spans="1:8" x14ac:dyDescent="0.25">
      <c r="A44" s="1" t="s">
        <v>47</v>
      </c>
      <c r="B44" s="153">
        <f>BS!B30/IS!B$3</f>
        <v>5.9376003147942967E-2</v>
      </c>
      <c r="C44" s="153">
        <f>BS!C30/IS!C$3</f>
        <v>4.9021384559623056E-3</v>
      </c>
      <c r="D44" s="153">
        <f>BS!D30/IS!D$3</f>
        <v>1.8515133936730689E-3</v>
      </c>
      <c r="E44" s="153">
        <f>BS!E30/IS!E$3</f>
        <v>1.4264238016991225E-3</v>
      </c>
      <c r="F44" s="154">
        <f t="shared" si="3"/>
        <v>1.4264238016991225E-3</v>
      </c>
      <c r="G44" s="154">
        <f t="shared" si="3"/>
        <v>1.4264238016991225E-3</v>
      </c>
      <c r="H44" s="154">
        <f t="shared" si="3"/>
        <v>1.4264238016991225E-3</v>
      </c>
    </row>
    <row r="45" spans="1:8" x14ac:dyDescent="0.25">
      <c r="A45" s="1" t="s">
        <v>48</v>
      </c>
      <c r="B45" s="153">
        <f>BS!B31/IS!B$3</f>
        <v>5.5627465802363031E-2</v>
      </c>
      <c r="C45" s="153">
        <f>BS!C31/IS!C$3</f>
        <v>5.045306270387822E-2</v>
      </c>
      <c r="D45" s="153">
        <f>BS!D31/IS!D$3</f>
        <v>4.9172381459437552E-2</v>
      </c>
      <c r="E45" s="153">
        <f>BS!E31/IS!E$3</f>
        <v>5.3637730308009647E-2</v>
      </c>
      <c r="F45" s="154">
        <f t="shared" si="3"/>
        <v>5.3637730308009647E-2</v>
      </c>
      <c r="G45" s="154">
        <f t="shared" si="3"/>
        <v>5.3637730308009647E-2</v>
      </c>
      <c r="H45" s="154">
        <f t="shared" si="3"/>
        <v>5.3637730308009647E-2</v>
      </c>
    </row>
    <row r="46" spans="1:8" x14ac:dyDescent="0.25">
      <c r="A46" s="1" t="s">
        <v>49</v>
      </c>
      <c r="B46" s="153">
        <f>BS!B32/IS!B$3</f>
        <v>3.675016309243976E-2</v>
      </c>
      <c r="C46" s="153">
        <f>BS!C32/IS!C$3</f>
        <v>4.7218194998187746E-2</v>
      </c>
      <c r="D46" s="153">
        <f>BS!D32/IS!D$3</f>
        <v>6.024172977440144E-2</v>
      </c>
      <c r="E46" s="153">
        <f>BS!E32/IS!E$3</f>
        <v>7.4341852253260149E-2</v>
      </c>
      <c r="F46" s="154">
        <f t="shared" si="3"/>
        <v>7.4341852253260149E-2</v>
      </c>
      <c r="G46" s="154">
        <f t="shared" si="3"/>
        <v>7.4341852253260149E-2</v>
      </c>
      <c r="H46" s="154">
        <f t="shared" si="3"/>
        <v>7.4341852253260149E-2</v>
      </c>
    </row>
    <row r="47" spans="1:8" x14ac:dyDescent="0.25">
      <c r="A47" s="150" t="s">
        <v>303</v>
      </c>
    </row>
    <row r="48" spans="1:8" x14ac:dyDescent="0.25">
      <c r="A48" s="1" t="s">
        <v>61</v>
      </c>
      <c r="B48">
        <v>8778</v>
      </c>
      <c r="C48">
        <v>10261</v>
      </c>
      <c r="D48">
        <v>11682</v>
      </c>
      <c r="E48">
        <v>12796</v>
      </c>
      <c r="F48" s="135">
        <f>IS!F3*CS_1!F49</f>
        <v>13894.705182357888</v>
      </c>
      <c r="G48" s="135">
        <f>IS!G3*CS_1!G49</f>
        <v>15087.748679637632</v>
      </c>
      <c r="H48" s="135">
        <f>IS!H3*CS_1!H49</f>
        <v>16383.230679046139</v>
      </c>
    </row>
    <row r="49" spans="1:8" x14ac:dyDescent="0.25">
      <c r="A49" s="158" t="s">
        <v>304</v>
      </c>
      <c r="B49" s="153">
        <f>B48/IS!B$3</f>
        <v>9.0896853092543306E-2</v>
      </c>
      <c r="C49" s="153">
        <f>C48/IS!C3</f>
        <v>9.2977528089887643E-2</v>
      </c>
      <c r="D49" s="153">
        <f>D48/IS!D3</f>
        <v>9.2829954784930432E-2</v>
      </c>
      <c r="E49" s="153">
        <f>E48/IS!E3</f>
        <v>8.9473132188931229E-2</v>
      </c>
      <c r="F49" s="154">
        <f>E49</f>
        <v>8.9473132188931229E-2</v>
      </c>
      <c r="G49" s="154">
        <f>F49</f>
        <v>8.9473132188931229E-2</v>
      </c>
      <c r="H49" s="154">
        <f>G49</f>
        <v>8.9473132188931229E-2</v>
      </c>
    </row>
    <row r="50" spans="1:8" x14ac:dyDescent="0.25">
      <c r="A50" s="1" t="s">
        <v>62</v>
      </c>
      <c r="B50">
        <v>3266</v>
      </c>
      <c r="C50">
        <v>3940</v>
      </c>
      <c r="D50">
        <v>4652</v>
      </c>
      <c r="E50">
        <v>5289</v>
      </c>
      <c r="F50" s="135">
        <f>IS!F3*CS_1!F51</f>
        <v>5743.1303305322654</v>
      </c>
      <c r="G50" s="135">
        <f>IS!G3*CS_1!G51</f>
        <v>6236.2537329324359</v>
      </c>
      <c r="H50" s="135">
        <f>IS!H3*CS_1!H51</f>
        <v>6771.7182761390304</v>
      </c>
    </row>
    <row r="51" spans="1:8" x14ac:dyDescent="0.25">
      <c r="A51" s="158" t="s">
        <v>304</v>
      </c>
      <c r="B51" s="153">
        <f>B50/IS!B$3</f>
        <v>3.3819676714541634E-2</v>
      </c>
      <c r="C51" s="153">
        <f>C50/IS!C$3</f>
        <v>3.5701341065603479E-2</v>
      </c>
      <c r="D51" s="153">
        <f>D50/IS!D$3</f>
        <v>3.6966696598142126E-2</v>
      </c>
      <c r="E51" s="153">
        <f>E50/IS!E$3</f>
        <v>3.6982134741111075E-2</v>
      </c>
      <c r="F51" s="154">
        <f>E51</f>
        <v>3.6982134741111075E-2</v>
      </c>
      <c r="G51" s="154">
        <f>F51</f>
        <v>3.6982134741111075E-2</v>
      </c>
      <c r="H51" s="154">
        <f>G51</f>
        <v>3.6982134741111075E-2</v>
      </c>
    </row>
    <row r="52" spans="1:8" x14ac:dyDescent="0.25">
      <c r="A52" s="1" t="s">
        <v>63</v>
      </c>
      <c r="B52">
        <v>-2073</v>
      </c>
      <c r="C52">
        <v>-2212</v>
      </c>
      <c r="D52">
        <v>-792</v>
      </c>
      <c r="E52">
        <v>-219</v>
      </c>
      <c r="F52" s="135">
        <f>IS!F3*CS_1!F53</f>
        <v>-237.80403524041711</v>
      </c>
      <c r="G52" s="135">
        <f>IS!G3*CS_1!G53</f>
        <v>-258.22264464212583</v>
      </c>
      <c r="H52" s="135">
        <f>IS!H3*CS_1!H53</f>
        <v>-280.39446066826389</v>
      </c>
    </row>
    <row r="53" spans="1:8" x14ac:dyDescent="0.25">
      <c r="A53" s="158" t="s">
        <v>304</v>
      </c>
      <c r="B53" s="153">
        <f>B52/IS!B$3</f>
        <v>-2.1466071594992284E-2</v>
      </c>
      <c r="C53" s="153">
        <f>C52/IS!C$3</f>
        <v>-2.0043494019572308E-2</v>
      </c>
      <c r="D53" s="153">
        <f>D52/IS!D$3</f>
        <v>-6.2935562566054527E-3</v>
      </c>
      <c r="E53" s="153">
        <f>E52/IS!E$3</f>
        <v>-1.5313079047652345E-3</v>
      </c>
      <c r="F53" s="154">
        <f>E53</f>
        <v>-1.5313079047652345E-3</v>
      </c>
      <c r="G53" s="154">
        <f>F53</f>
        <v>-1.5313079047652345E-3</v>
      </c>
      <c r="H53" s="154">
        <f>G53</f>
        <v>-1.5313079047652345E-3</v>
      </c>
    </row>
    <row r="54" spans="1:8" x14ac:dyDescent="0.25">
      <c r="A54" s="1" t="s">
        <v>47</v>
      </c>
      <c r="B54">
        <v>-829</v>
      </c>
      <c r="C54">
        <v>-5143</v>
      </c>
      <c r="D54">
        <v>-6463</v>
      </c>
      <c r="E54">
        <v>11</v>
      </c>
      <c r="F54" s="135">
        <f>IS!F3*CS_1!F55</f>
        <v>11.944494920751545</v>
      </c>
      <c r="G54" s="135">
        <f>IS!G3*CS_1!G55</f>
        <v>12.970087173805405</v>
      </c>
      <c r="H54" s="135">
        <f>IS!H3*CS_1!H55</f>
        <v>14.083740033565766</v>
      </c>
    </row>
    <row r="55" spans="1:8" x14ac:dyDescent="0.25">
      <c r="A55" s="158" t="s">
        <v>304</v>
      </c>
      <c r="B55" s="153">
        <f>B54/IS!B$3</f>
        <v>-8.5843576228888593E-3</v>
      </c>
      <c r="C55" s="153">
        <f>C54/IS!C$3</f>
        <v>-4.6602029720913374E-2</v>
      </c>
      <c r="D55" s="153">
        <f>D54/IS!D$3</f>
        <v>-5.1357644048536669E-2</v>
      </c>
      <c r="E55" s="153">
        <f>E54/IS!E$3</f>
        <v>7.6915008915148762E-5</v>
      </c>
      <c r="F55" s="154">
        <f>E55</f>
        <v>7.6915008915148762E-5</v>
      </c>
      <c r="G55" s="154">
        <f>F55</f>
        <v>7.6915008915148762E-5</v>
      </c>
      <c r="H55" s="154">
        <f>G55</f>
        <v>7.6915008915148762E-5</v>
      </c>
    </row>
    <row r="56" spans="1:8" x14ac:dyDescent="0.25">
      <c r="A56" s="158"/>
      <c r="B56" s="153"/>
      <c r="C56" s="153"/>
      <c r="D56" s="153"/>
      <c r="E56" s="153"/>
      <c r="F56" s="154"/>
      <c r="G56" s="154"/>
      <c r="H56" s="154"/>
    </row>
    <row r="57" spans="1:8" x14ac:dyDescent="0.25">
      <c r="A57" s="158"/>
      <c r="B57" s="153"/>
      <c r="C57" s="160">
        <f t="shared" ref="C57:H57" si="4">B59-C59</f>
        <v>-10770</v>
      </c>
      <c r="D57" s="160">
        <f t="shared" si="4"/>
        <v>-13124</v>
      </c>
      <c r="E57" s="160">
        <f t="shared" si="4"/>
        <v>-15541</v>
      </c>
      <c r="F57" s="160">
        <f t="shared" si="4"/>
        <v>-7499.9765761641756</v>
      </c>
      <c r="G57" s="160">
        <f t="shared" si="4"/>
        <v>-8143.9483745226025</v>
      </c>
      <c r="H57" s="160">
        <f t="shared" si="4"/>
        <v>-8843.2136358498246</v>
      </c>
    </row>
    <row r="58" spans="1:8" x14ac:dyDescent="0.25">
      <c r="A58" s="150" t="s">
        <v>308</v>
      </c>
      <c r="B58" s="159">
        <v>2017</v>
      </c>
      <c r="C58" s="159">
        <f t="shared" ref="C58:H58" si="5">B58+1</f>
        <v>2018</v>
      </c>
      <c r="D58" s="159">
        <f t="shared" si="5"/>
        <v>2019</v>
      </c>
      <c r="E58" s="159">
        <f t="shared" si="5"/>
        <v>2020</v>
      </c>
      <c r="F58" s="159">
        <f t="shared" si="5"/>
        <v>2021</v>
      </c>
      <c r="G58" s="159">
        <f t="shared" si="5"/>
        <v>2022</v>
      </c>
      <c r="H58" s="159">
        <f t="shared" si="5"/>
        <v>2023</v>
      </c>
    </row>
    <row r="59" spans="1:8" x14ac:dyDescent="0.25">
      <c r="A59" s="1" t="s">
        <v>305</v>
      </c>
      <c r="B59">
        <v>47913</v>
      </c>
      <c r="C59">
        <v>58683</v>
      </c>
      <c r="D59">
        <v>71807</v>
      </c>
      <c r="E59">
        <v>87348</v>
      </c>
      <c r="F59" s="135">
        <f>F65*IS!F3</f>
        <v>94847.976576164176</v>
      </c>
      <c r="G59" s="135">
        <f>G65*IS!G3</f>
        <v>102991.92495068678</v>
      </c>
      <c r="H59" s="135">
        <f>H65*IS!H3</f>
        <v>111835.1385865366</v>
      </c>
    </row>
    <row r="60" spans="1:8" x14ac:dyDescent="0.25">
      <c r="A60" s="1" t="s">
        <v>306</v>
      </c>
      <c r="B60">
        <v>24179</v>
      </c>
      <c r="C60">
        <v>29223</v>
      </c>
      <c r="D60">
        <v>35330</v>
      </c>
      <c r="E60">
        <v>43197</v>
      </c>
      <c r="F60" s="135">
        <f>E60+F63</f>
        <v>57091.705182357888</v>
      </c>
      <c r="G60" s="135">
        <f>F60+G63</f>
        <v>72179.453861995527</v>
      </c>
      <c r="H60" s="135">
        <f>G60+H63</f>
        <v>88562.684541041672</v>
      </c>
    </row>
    <row r="61" spans="1:8" ht="15.75" thickBot="1" x14ac:dyDescent="0.3">
      <c r="A61" s="2" t="s">
        <v>307</v>
      </c>
      <c r="B61" s="2">
        <f t="shared" ref="B61:H61" si="6">B59-B60</f>
        <v>23734</v>
      </c>
      <c r="C61" s="2">
        <f t="shared" si="6"/>
        <v>29460</v>
      </c>
      <c r="D61" s="2">
        <f t="shared" si="6"/>
        <v>36477</v>
      </c>
      <c r="E61" s="136">
        <f t="shared" si="6"/>
        <v>44151</v>
      </c>
      <c r="F61" s="136">
        <f t="shared" si="6"/>
        <v>37756.271393806288</v>
      </c>
      <c r="G61" s="136">
        <f t="shared" si="6"/>
        <v>30812.471088691251</v>
      </c>
      <c r="H61" s="136">
        <f t="shared" si="6"/>
        <v>23272.454045494931</v>
      </c>
    </row>
    <row r="62" spans="1:8" ht="15.75" thickTop="1" x14ac:dyDescent="0.25"/>
    <row r="63" spans="1:8" x14ac:dyDescent="0.25">
      <c r="A63" t="s">
        <v>309</v>
      </c>
      <c r="B63">
        <f>B48</f>
        <v>8778</v>
      </c>
      <c r="C63">
        <f>C48</f>
        <v>10261</v>
      </c>
      <c r="D63">
        <f>D48</f>
        <v>11682</v>
      </c>
      <c r="E63">
        <f>E48</f>
        <v>12796</v>
      </c>
      <c r="F63" s="135">
        <f>F64*F59</f>
        <v>13894.705182357888</v>
      </c>
      <c r="G63" s="135">
        <f>G64*G59</f>
        <v>15087.748679637634</v>
      </c>
      <c r="H63" s="135">
        <f>H64*H59</f>
        <v>16383.230679046143</v>
      </c>
    </row>
    <row r="64" spans="1:8" x14ac:dyDescent="0.25">
      <c r="A64" s="1" t="s">
        <v>310</v>
      </c>
      <c r="B64" s="14">
        <f>B63/B59</f>
        <v>0.1832070628013274</v>
      </c>
      <c r="C64" s="14">
        <f>C63/C59</f>
        <v>0.17485472794506074</v>
      </c>
      <c r="D64" s="14">
        <f>D63/D59</f>
        <v>0.16268608909994847</v>
      </c>
      <c r="E64" s="14">
        <f>E63/E59</f>
        <v>0.14649448184274397</v>
      </c>
      <c r="F64" s="26">
        <f t="shared" ref="F64:H65" si="7">E64</f>
        <v>0.14649448184274397</v>
      </c>
      <c r="G64" s="26">
        <f t="shared" si="7"/>
        <v>0.14649448184274397</v>
      </c>
      <c r="H64" s="26">
        <f t="shared" si="7"/>
        <v>0.14649448184274397</v>
      </c>
    </row>
    <row r="65" spans="1:9" x14ac:dyDescent="0.25">
      <c r="A65" t="s">
        <v>311</v>
      </c>
      <c r="B65" s="14">
        <f>B59/IS!B3</f>
        <v>0.49614273436124717</v>
      </c>
      <c r="C65" s="14">
        <f>C59/IS!C3</f>
        <v>0.53174157303370784</v>
      </c>
      <c r="D65" s="14">
        <f>D59/IS!D3</f>
        <v>0.57060782085614614</v>
      </c>
      <c r="E65" s="14">
        <f>E59/IS!E3</f>
        <v>0.61076110897458313</v>
      </c>
      <c r="F65" s="26">
        <f t="shared" si="7"/>
        <v>0.61076110897458313</v>
      </c>
      <c r="G65" s="26">
        <f t="shared" si="7"/>
        <v>0.61076110897458313</v>
      </c>
      <c r="H65" s="26">
        <f t="shared" si="7"/>
        <v>0.61076110897458313</v>
      </c>
    </row>
    <row r="68" spans="1:9" ht="15.75" thickBot="1" x14ac:dyDescent="0.3">
      <c r="A68" s="164" t="s">
        <v>315</v>
      </c>
      <c r="B68" s="164">
        <v>2017</v>
      </c>
      <c r="C68" s="164">
        <f t="shared" ref="C68:H68" si="8">B68+1</f>
        <v>2018</v>
      </c>
      <c r="D68" s="164">
        <f t="shared" si="8"/>
        <v>2019</v>
      </c>
      <c r="E68" s="164">
        <f t="shared" si="8"/>
        <v>2020</v>
      </c>
      <c r="F68" s="164">
        <f t="shared" si="8"/>
        <v>2021</v>
      </c>
      <c r="G68" s="164">
        <f t="shared" si="8"/>
        <v>2022</v>
      </c>
      <c r="H68" s="164">
        <f t="shared" si="8"/>
        <v>2023</v>
      </c>
    </row>
    <row r="69" spans="1:9" x14ac:dyDescent="0.25">
      <c r="A69" s="1" t="s">
        <v>312</v>
      </c>
      <c r="B69">
        <v>13118</v>
      </c>
      <c r="C69">
        <f t="shared" ref="C69:H69" si="9">B74</f>
        <v>17769</v>
      </c>
      <c r="D69">
        <f t="shared" si="9"/>
        <v>13682</v>
      </c>
      <c r="E69">
        <f t="shared" si="9"/>
        <v>24150</v>
      </c>
      <c r="F69">
        <f t="shared" si="9"/>
        <v>34566</v>
      </c>
      <c r="G69">
        <f t="shared" si="9"/>
        <v>59153.853073409038</v>
      </c>
      <c r="H69">
        <f t="shared" si="9"/>
        <v>87549.648413077011</v>
      </c>
    </row>
    <row r="70" spans="1:9" x14ac:dyDescent="0.25">
      <c r="A70" s="1" t="s">
        <v>3</v>
      </c>
      <c r="B70" s="135">
        <f>IS!B16</f>
        <v>25489</v>
      </c>
      <c r="C70" s="135">
        <f>IS!C16</f>
        <v>16571</v>
      </c>
      <c r="D70" s="135">
        <f>IS!D16</f>
        <v>39240</v>
      </c>
      <c r="E70" s="135">
        <f>IS!E16</f>
        <v>44281</v>
      </c>
      <c r="F70" s="135">
        <f>IS!F16</f>
        <v>45495.973069764848</v>
      </c>
      <c r="G70" s="135">
        <f>IS!G16</f>
        <v>49402.40174967776</v>
      </c>
      <c r="H70" s="135">
        <f>IS!H16</f>
        <v>53644.24879745028</v>
      </c>
    </row>
    <row r="71" spans="1:9" x14ac:dyDescent="0.25">
      <c r="A71" s="1" t="s">
        <v>316</v>
      </c>
      <c r="B71">
        <v>-12040</v>
      </c>
      <c r="C71">
        <v>-12917</v>
      </c>
      <c r="D71">
        <v>-14103</v>
      </c>
      <c r="E71">
        <v>-15483</v>
      </c>
      <c r="F71">
        <f>E71</f>
        <v>-15483</v>
      </c>
      <c r="G71">
        <f>F71</f>
        <v>-15483</v>
      </c>
      <c r="H71">
        <f>G71</f>
        <v>-15483</v>
      </c>
    </row>
    <row r="72" spans="1:9" x14ac:dyDescent="0.25">
      <c r="A72" s="1" t="s">
        <v>313</v>
      </c>
      <c r="B72">
        <v>-8798</v>
      </c>
      <c r="C72">
        <v>-7699</v>
      </c>
      <c r="D72">
        <v>-15346</v>
      </c>
      <c r="E72">
        <v>-18382</v>
      </c>
      <c r="F72">
        <v>-5425.119996355812</v>
      </c>
      <c r="G72">
        <v>-5523.6064100097901</v>
      </c>
      <c r="H72">
        <v>1477.7786042661683</v>
      </c>
      <c r="I72" t="s">
        <v>318</v>
      </c>
    </row>
    <row r="73" spans="1:9" x14ac:dyDescent="0.25">
      <c r="A73" s="1" t="s">
        <v>317</v>
      </c>
      <c r="B73">
        <v>0</v>
      </c>
      <c r="C73">
        <v>-42</v>
      </c>
      <c r="D73">
        <v>677</v>
      </c>
      <c r="E73">
        <v>0</v>
      </c>
      <c r="F73">
        <f>E73</f>
        <v>0</v>
      </c>
      <c r="G73">
        <f>F73</f>
        <v>0</v>
      </c>
      <c r="H73">
        <f>G73</f>
        <v>0</v>
      </c>
    </row>
    <row r="74" spans="1:9" x14ac:dyDescent="0.25">
      <c r="A74" t="s">
        <v>314</v>
      </c>
      <c r="B74">
        <f t="shared" ref="B74:H74" si="10">SUM(B69:B73)</f>
        <v>17769</v>
      </c>
      <c r="C74">
        <f t="shared" si="10"/>
        <v>13682</v>
      </c>
      <c r="D74">
        <f t="shared" si="10"/>
        <v>24150</v>
      </c>
      <c r="E74" s="135">
        <f t="shared" si="10"/>
        <v>34566</v>
      </c>
      <c r="F74" s="135">
        <f t="shared" si="10"/>
        <v>59153.853073409038</v>
      </c>
      <c r="G74" s="135">
        <f t="shared" si="10"/>
        <v>87549.648413077011</v>
      </c>
      <c r="H74" s="135">
        <f t="shared" si="10"/>
        <v>127188.67581479347</v>
      </c>
    </row>
    <row r="77" spans="1:9" x14ac:dyDescent="0.25">
      <c r="A77" s="159" t="s">
        <v>338</v>
      </c>
      <c r="B77" s="159">
        <v>2017</v>
      </c>
      <c r="C77" s="159">
        <v>2018</v>
      </c>
      <c r="D77" s="159">
        <v>2019</v>
      </c>
      <c r="E77" s="159">
        <v>2020</v>
      </c>
    </row>
    <row r="78" spans="1:9" x14ac:dyDescent="0.25">
      <c r="A78" s="175" t="s">
        <v>333</v>
      </c>
      <c r="B78" s="171">
        <v>1387</v>
      </c>
      <c r="C78" s="172">
        <v>2214</v>
      </c>
      <c r="D78" s="176">
        <v>2762</v>
      </c>
      <c r="E78" s="171">
        <v>2680</v>
      </c>
    </row>
    <row r="79" spans="1:9" x14ac:dyDescent="0.25">
      <c r="A79" s="175" t="s">
        <v>334</v>
      </c>
      <c r="B79" s="173">
        <v>-2222</v>
      </c>
      <c r="C79" s="172">
        <v>-2733</v>
      </c>
      <c r="D79" s="177">
        <v>-2686</v>
      </c>
      <c r="E79" s="173">
        <v>-2591</v>
      </c>
    </row>
    <row r="80" spans="1:9" x14ac:dyDescent="0.25">
      <c r="A80" s="175" t="s">
        <v>335</v>
      </c>
      <c r="B80" s="173">
        <v>2583</v>
      </c>
      <c r="C80" s="172">
        <v>2399</v>
      </c>
      <c r="D80" s="177">
        <v>648</v>
      </c>
      <c r="E80" s="173">
        <v>32</v>
      </c>
    </row>
    <row r="81" spans="1:8" x14ac:dyDescent="0.25">
      <c r="A81" s="175" t="s">
        <v>336</v>
      </c>
      <c r="B81" s="173">
        <v>-510</v>
      </c>
      <c r="C81" s="172">
        <v>-187</v>
      </c>
      <c r="D81" s="177">
        <v>144</v>
      </c>
      <c r="E81" s="173">
        <v>187</v>
      </c>
    </row>
    <row r="82" spans="1:8" x14ac:dyDescent="0.25">
      <c r="A82" s="175" t="s">
        <v>337</v>
      </c>
      <c r="B82" s="173">
        <v>-111</v>
      </c>
      <c r="C82" s="172">
        <v>-218</v>
      </c>
      <c r="D82" s="177">
        <v>-82</v>
      </c>
      <c r="E82" s="173">
        <v>-191</v>
      </c>
    </row>
    <row r="83" spans="1:8" x14ac:dyDescent="0.25">
      <c r="A83" s="175" t="s">
        <v>75</v>
      </c>
      <c r="B83" s="173">
        <v>-251</v>
      </c>
      <c r="C83" s="172">
        <v>-59</v>
      </c>
      <c r="D83" s="177">
        <v>-57</v>
      </c>
      <c r="E83" s="173">
        <v>-40</v>
      </c>
    </row>
    <row r="84" spans="1:8" ht="15.75" thickBot="1" x14ac:dyDescent="0.3">
      <c r="A84" s="174" t="s">
        <v>96</v>
      </c>
      <c r="B84" s="17">
        <f>SUM(B78:B83)</f>
        <v>876</v>
      </c>
      <c r="C84" s="2">
        <f>SUM(C78:C83)</f>
        <v>1416</v>
      </c>
      <c r="D84" s="17">
        <f>SUM(D78:D83)</f>
        <v>729</v>
      </c>
      <c r="E84" s="17">
        <f>SUM(E78:E83)</f>
        <v>77</v>
      </c>
    </row>
    <row r="85" spans="1:8" ht="15.75" thickTop="1" x14ac:dyDescent="0.25">
      <c r="A85" s="260"/>
      <c r="B85" s="260"/>
    </row>
    <row r="86" spans="1:8" x14ac:dyDescent="0.25">
      <c r="A86" s="175" t="s">
        <v>334</v>
      </c>
      <c r="B86" s="173">
        <v>-2222</v>
      </c>
      <c r="C86" s="172">
        <v>-2733</v>
      </c>
      <c r="D86" s="177">
        <v>-2686</v>
      </c>
      <c r="E86" s="173">
        <v>-2591</v>
      </c>
      <c r="F86" s="135">
        <f>-F87*BS!G27</f>
        <v>-2813.4714854242952</v>
      </c>
      <c r="G86" s="135">
        <f>-G87*BS!H27</f>
        <v>-3055.0450788481635</v>
      </c>
      <c r="H86" s="135">
        <f>-H87*BS!I27</f>
        <v>-3317.3609479062629</v>
      </c>
    </row>
    <row r="87" spans="1:8" x14ac:dyDescent="0.25">
      <c r="A87" s="175" t="s">
        <v>339</v>
      </c>
      <c r="B87" s="11">
        <f>-B86/BS!B27</f>
        <v>2.9208786297372259E-2</v>
      </c>
      <c r="C87" s="11">
        <f>-C86/BS!C27</f>
        <v>3.7831178538800143E-2</v>
      </c>
      <c r="D87" s="11">
        <f>-D86/BS!D27</f>
        <v>4.0292820497434823E-2</v>
      </c>
      <c r="E87" s="11">
        <f>-E86/BS!E27</f>
        <v>4.348920742555977E-2</v>
      </c>
      <c r="F87" s="126">
        <f>E87</f>
        <v>4.348920742555977E-2</v>
      </c>
      <c r="G87" s="126">
        <f>F87</f>
        <v>4.348920742555977E-2</v>
      </c>
      <c r="H87" s="126">
        <f>G87</f>
        <v>4.348920742555977E-2</v>
      </c>
    </row>
  </sheetData>
  <mergeCells count="1">
    <mergeCell ref="A85:B85"/>
  </mergeCell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K24"/>
  <sheetViews>
    <sheetView workbookViewId="0">
      <selection activeCell="G25" sqref="G25"/>
    </sheetView>
  </sheetViews>
  <sheetFormatPr defaultRowHeight="15" x14ac:dyDescent="0.25"/>
  <cols>
    <col min="2" max="2" width="79.140625" bestFit="1" customWidth="1"/>
    <col min="3" max="4" width="11.140625" bestFit="1" customWidth="1"/>
    <col min="9" max="9" width="9.140625" customWidth="1"/>
  </cols>
  <sheetData>
    <row r="1" spans="1:11" ht="18" thickBot="1" x14ac:dyDescent="0.35">
      <c r="A1" s="9" t="s">
        <v>89</v>
      </c>
      <c r="B1" s="9" t="s">
        <v>90</v>
      </c>
      <c r="C1" s="9">
        <v>2017</v>
      </c>
      <c r="D1" s="9">
        <v>2018</v>
      </c>
      <c r="E1" s="9">
        <v>2019</v>
      </c>
      <c r="F1" s="9">
        <v>2020</v>
      </c>
      <c r="G1" s="9"/>
    </row>
    <row r="2" spans="1:11" ht="16.5" thickTop="1" thickBot="1" x14ac:dyDescent="0.3">
      <c r="A2">
        <v>1</v>
      </c>
      <c r="B2" s="10" t="str">
        <f>IS!A1</f>
        <v>INCOME STATEMENTS - USD ($) shares in Millions, $ in Millions</v>
      </c>
    </row>
    <row r="3" spans="1:11" x14ac:dyDescent="0.25">
      <c r="B3" s="1" t="str">
        <f>IS!A3</f>
        <v>Revenue</v>
      </c>
      <c r="C3" s="11">
        <f>IS!B3/IS!B$3</f>
        <v>1</v>
      </c>
      <c r="D3" s="11">
        <f>IS!C3/IS!C$3</f>
        <v>1</v>
      </c>
      <c r="E3" s="11">
        <f>IS!D3/IS!D$3</f>
        <v>1</v>
      </c>
      <c r="F3" s="11">
        <f>IS!E3/IS!E$3</f>
        <v>1</v>
      </c>
      <c r="G3" s="11"/>
    </row>
    <row r="4" spans="1:11" x14ac:dyDescent="0.25">
      <c r="B4" s="1" t="str">
        <f>IS!A4</f>
        <v>Cost of revenue</v>
      </c>
      <c r="C4" s="11">
        <f>IS!B4/IS!B$3</f>
        <v>0.35477524308539832</v>
      </c>
      <c r="D4" s="11">
        <f>IS!C4/IS!C$3</f>
        <v>0.34752627763682492</v>
      </c>
      <c r="E4" s="11">
        <f>IS!D4/IS!D$3</f>
        <v>0.34098042799361111</v>
      </c>
      <c r="F4" s="11">
        <f>IS!E4/IS!E$3</f>
        <v>0.32218998007202043</v>
      </c>
      <c r="G4" s="11"/>
      <c r="I4" s="15"/>
    </row>
    <row r="5" spans="1:11" x14ac:dyDescent="0.25">
      <c r="B5" s="1" t="str">
        <f>IS!A6</f>
        <v>Research and development</v>
      </c>
      <c r="C5" s="11">
        <f>IS!B6/IS!B$3</f>
        <v>0.13499911981857907</v>
      </c>
      <c r="D5" s="11">
        <f>IS!C6/IS!C$3</f>
        <v>0.13343602754621239</v>
      </c>
      <c r="E5" s="11">
        <f>IS!D6/IS!D$3</f>
        <v>0.13410360528595155</v>
      </c>
      <c r="F5" s="11">
        <f>IS!E6/IS!E$3</f>
        <v>0.1347341187987274</v>
      </c>
      <c r="G5" s="11"/>
    </row>
    <row r="6" spans="1:11" x14ac:dyDescent="0.25">
      <c r="B6" s="1" t="str">
        <f>IS!A7</f>
        <v>Sales and marketing</v>
      </c>
      <c r="C6" s="11">
        <f>IS!B7/IS!B$3</f>
        <v>0.16009982292820826</v>
      </c>
      <c r="D6" s="11">
        <f>IS!C7/IS!C$3</f>
        <v>0.15829104748097136</v>
      </c>
      <c r="E6" s="11">
        <f>IS!D7/IS!D$3</f>
        <v>0.14472795467368069</v>
      </c>
      <c r="F6" s="11">
        <f>IS!E7/IS!E$3</f>
        <v>0.13703457679264414</v>
      </c>
      <c r="G6" s="11"/>
    </row>
    <row r="7" spans="1:11" x14ac:dyDescent="0.25">
      <c r="B7" s="1" t="str">
        <f>IS!A8</f>
        <v>General and administrative</v>
      </c>
      <c r="C7" s="11">
        <f>IS!B8/IS!B$3</f>
        <v>4.6401093495977055E-2</v>
      </c>
      <c r="D7" s="11">
        <f>IS!C8/IS!C$3</f>
        <v>4.3077201884740846E-2</v>
      </c>
      <c r="E7" s="11">
        <f>IS!D8/IS!D$3</f>
        <v>3.8818209991815199E-2</v>
      </c>
      <c r="F7" s="11">
        <f>IS!E8/IS!E$3</f>
        <v>3.5737510051393209E-2</v>
      </c>
      <c r="G7" s="11"/>
    </row>
    <row r="8" spans="1:11" x14ac:dyDescent="0.25">
      <c r="B8" s="1" t="str">
        <f>IS!A9</f>
        <v>Restructuring</v>
      </c>
      <c r="C8" s="11">
        <f>IS!B9/IS!B$3</f>
        <v>3.1686531153244761E-3</v>
      </c>
      <c r="D8" s="11">
        <f>IS!C9/IS!C$3</f>
        <v>0</v>
      </c>
      <c r="E8" s="11">
        <f>IS!D9/IS!D$3</f>
        <v>0</v>
      </c>
      <c r="F8" s="11">
        <f>IS!E9/IS!E$3</f>
        <v>0</v>
      </c>
      <c r="G8" s="11"/>
    </row>
    <row r="9" spans="1:11" x14ac:dyDescent="0.25">
      <c r="B9" s="1" t="str">
        <f>IS!A13</f>
        <v>Other income, net</v>
      </c>
      <c r="C9" s="11">
        <f>IS!B13/IS!B$3</f>
        <v>3.2080024023775251E-2</v>
      </c>
      <c r="D9" s="11">
        <f>IS!C13/IS!C$3</f>
        <v>3.7595143167814427E-2</v>
      </c>
      <c r="E9" s="11">
        <f>IS!D13/IS!D$3</f>
        <v>2.7136988151903563E-2</v>
      </c>
      <c r="F9" s="11">
        <f>IS!E13/IS!E$3</f>
        <v>1.8655385798692446E-2</v>
      </c>
      <c r="G9" s="11"/>
    </row>
    <row r="10" spans="1:11" x14ac:dyDescent="0.25">
      <c r="C10" s="11"/>
      <c r="D10" s="11"/>
      <c r="E10" s="11"/>
    </row>
    <row r="11" spans="1:11" ht="15.75" thickBot="1" x14ac:dyDescent="0.3">
      <c r="A11">
        <v>2</v>
      </c>
      <c r="B11" s="10" t="s">
        <v>92</v>
      </c>
      <c r="C11" s="12">
        <v>2017</v>
      </c>
      <c r="D11" s="12">
        <v>2018</v>
      </c>
      <c r="E11" s="12">
        <v>2019</v>
      </c>
      <c r="F11" s="12">
        <v>2020</v>
      </c>
      <c r="G11" s="12"/>
      <c r="H11" s="12">
        <v>2017</v>
      </c>
      <c r="I11" s="12">
        <v>2018</v>
      </c>
      <c r="J11" s="12">
        <v>2019</v>
      </c>
      <c r="K11" s="12">
        <v>2020</v>
      </c>
    </row>
    <row r="12" spans="1:11" x14ac:dyDescent="0.25">
      <c r="B12" s="1" t="s">
        <v>93</v>
      </c>
      <c r="C12" s="16">
        <v>29870</v>
      </c>
      <c r="D12" s="16">
        <v>35865</v>
      </c>
      <c r="E12" s="16">
        <v>41160</v>
      </c>
      <c r="F12" s="16">
        <v>46398</v>
      </c>
      <c r="G12" s="16"/>
      <c r="H12" s="11">
        <f>Comsize!C12/Comsize!C$15</f>
        <v>0.30930610638804612</v>
      </c>
      <c r="I12" s="11">
        <f>Comsize!D12/Comsize!D$15</f>
        <v>0.32498187749184487</v>
      </c>
      <c r="J12" s="11">
        <f>Comsize!E12/Comsize!E$15</f>
        <v>0.3270742115175258</v>
      </c>
      <c r="K12" s="11">
        <f>Comsize!F12/Comsize!F$15</f>
        <v>0.3244275076040975</v>
      </c>
    </row>
    <row r="13" spans="1:11" x14ac:dyDescent="0.25">
      <c r="B13" s="1" t="s">
        <v>94</v>
      </c>
      <c r="C13" s="16">
        <v>27407</v>
      </c>
      <c r="D13" s="16">
        <v>32219</v>
      </c>
      <c r="E13" s="16">
        <v>38985</v>
      </c>
      <c r="F13" s="16">
        <v>48366</v>
      </c>
      <c r="G13" s="16"/>
      <c r="H13" s="11">
        <f>Comsize!C13/Comsize!C$15</f>
        <v>0.28380155533234613</v>
      </c>
      <c r="I13" s="11">
        <f>Comsize!D13/Comsize!D$15</f>
        <v>0.29194454512504531</v>
      </c>
      <c r="J13" s="11">
        <f>Comsize!E13/Comsize!E$15</f>
        <v>0.30979077104010555</v>
      </c>
      <c r="K13" s="11">
        <f>Comsize!F13/Comsize!F$15</f>
        <v>0.33818830192637134</v>
      </c>
    </row>
    <row r="14" spans="1:11" x14ac:dyDescent="0.25">
      <c r="B14" s="1" t="s">
        <v>95</v>
      </c>
      <c r="C14" s="16">
        <v>39294</v>
      </c>
      <c r="D14" s="16">
        <v>42276</v>
      </c>
      <c r="E14" s="16">
        <v>45698</v>
      </c>
      <c r="F14" s="16">
        <v>48251</v>
      </c>
      <c r="G14" s="16"/>
      <c r="H14" s="11">
        <f>Comsize!C14/Comsize!C$15</f>
        <v>0.40689233827960775</v>
      </c>
      <c r="I14" s="11">
        <f>Comsize!D14/Comsize!D$15</f>
        <v>0.38307357738310982</v>
      </c>
      <c r="J14" s="11">
        <f>Comsize!E14/Comsize!E$15</f>
        <v>0.36313501744236865</v>
      </c>
      <c r="K14" s="11">
        <f>Comsize!F14/Comsize!F$15</f>
        <v>0.33738419046953116</v>
      </c>
    </row>
    <row r="15" spans="1:11" ht="15.75" thickBot="1" x14ac:dyDescent="0.3">
      <c r="B15" s="2" t="s">
        <v>96</v>
      </c>
      <c r="C15" s="17">
        <f>SUM(C12:C14)</f>
        <v>96571</v>
      </c>
      <c r="D15" s="17">
        <f>SUM(D12:D14)</f>
        <v>110360</v>
      </c>
      <c r="E15" s="17">
        <f>SUM(E12:E14)</f>
        <v>125843</v>
      </c>
      <c r="F15" s="17">
        <f>SUM(F12:F14)</f>
        <v>143015</v>
      </c>
      <c r="H15" s="11">
        <f>Comsize!C15/Comsize!C$15</f>
        <v>1</v>
      </c>
      <c r="I15" s="11">
        <f>Comsize!D15/Comsize!D$15</f>
        <v>1</v>
      </c>
      <c r="J15" s="11">
        <f>Comsize!E15/Comsize!E$15</f>
        <v>1</v>
      </c>
      <c r="K15" s="11">
        <f>Comsize!F15/Comsize!F$15</f>
        <v>1</v>
      </c>
    </row>
    <row r="16" spans="1:11" ht="15.75" thickTop="1" x14ac:dyDescent="0.25"/>
    <row r="17" spans="1:7" ht="15.75" thickBot="1" x14ac:dyDescent="0.3">
      <c r="A17">
        <v>3</v>
      </c>
      <c r="B17" s="13" t="s">
        <v>91</v>
      </c>
      <c r="C17" s="12">
        <v>2017</v>
      </c>
      <c r="D17" s="12">
        <v>2018</v>
      </c>
      <c r="E17" s="12">
        <v>2019</v>
      </c>
      <c r="F17" s="12">
        <v>2020</v>
      </c>
      <c r="G17" s="12"/>
    </row>
    <row r="18" spans="1:7" x14ac:dyDescent="0.25">
      <c r="B18" t="str">
        <f>IS!A3</f>
        <v>Revenue</v>
      </c>
      <c r="C18" s="18"/>
      <c r="D18" s="11">
        <f>IS!C3/IS!B3-1</f>
        <v>0.14278613662486661</v>
      </c>
      <c r="E18" s="11">
        <f>IS!D3/IS!C3-1</f>
        <v>0.14029539688292858</v>
      </c>
      <c r="F18" s="11">
        <f>IS!E3/IS!D3-1</f>
        <v>0.13645574247276371</v>
      </c>
      <c r="G18" s="11"/>
    </row>
    <row r="19" spans="1:7" x14ac:dyDescent="0.25">
      <c r="B19" t="str">
        <f>IS!A5</f>
        <v>Gross margin</v>
      </c>
      <c r="C19" s="18"/>
      <c r="D19" s="11">
        <f>IS!C5/IS!B5-1</f>
        <v>0.15562510030492693</v>
      </c>
      <c r="E19" s="11">
        <f>IS!D5/IS!C5-1</f>
        <v>0.15173524796200377</v>
      </c>
      <c r="F19" s="11">
        <f>IS!E5/IS!D5-1</f>
        <v>0.16885919959485363</v>
      </c>
      <c r="G19" s="11"/>
    </row>
    <row r="20" spans="1:7" x14ac:dyDescent="0.25">
      <c r="B20" t="str">
        <f>IS!A11</f>
        <v>Operating income(EBIT)</v>
      </c>
      <c r="C20" s="18"/>
      <c r="D20" s="11">
        <f>IS!C11/IS!B11-1</f>
        <v>0.20785529715762263</v>
      </c>
      <c r="E20" s="11">
        <f>IS!D11/IS!C11-1</f>
        <v>0.22536938787152727</v>
      </c>
      <c r="F20" s="11">
        <f>IS!E11/IS!D11-1</f>
        <v>0.23278009264647692</v>
      </c>
      <c r="G20" s="11"/>
    </row>
    <row r="21" spans="1:7" x14ac:dyDescent="0.25">
      <c r="B21" t="s">
        <v>423</v>
      </c>
      <c r="C21" s="18"/>
      <c r="D21" s="11">
        <f>IS!C12/IS!B12-1</f>
        <v>0.22997299729972998</v>
      </c>
      <c r="E21" s="11">
        <f>IS!D12/IS!C12-1</f>
        <v>-1.7197219173069933E-2</v>
      </c>
      <c r="F21" s="11">
        <f>IS!E12/IS!D12-1</f>
        <v>-3.5368577810871216E-2</v>
      </c>
      <c r="G21" s="11"/>
    </row>
    <row r="22" spans="1:7" x14ac:dyDescent="0.25">
      <c r="B22" t="str">
        <f>IS!A14</f>
        <v>Income before income taxes</v>
      </c>
      <c r="C22" s="18"/>
      <c r="D22" s="11">
        <f>IS!C14/IS!B14-1</f>
        <v>0.21982542389886617</v>
      </c>
      <c r="E22" s="11">
        <f>IS!D14/IS!C14-1</f>
        <v>0.19778472336458841</v>
      </c>
      <c r="F22" s="11">
        <f>IS!E14/IS!D14-1</f>
        <v>0.21397180003662331</v>
      </c>
      <c r="G22" s="11"/>
    </row>
    <row r="23" spans="1:7" x14ac:dyDescent="0.25">
      <c r="B23" t="s">
        <v>422</v>
      </c>
      <c r="C23" s="18"/>
      <c r="D23" s="11">
        <f>IS!C15/IS!B15-1</f>
        <v>3.5111060743427016</v>
      </c>
      <c r="E23" s="11">
        <f>IS!D15/IS!C15-1</f>
        <v>-0.77651610310003516</v>
      </c>
      <c r="F23" s="11">
        <f>IS!E15/IS!D15-1</f>
        <v>0.96830035971223016</v>
      </c>
      <c r="G23" s="11"/>
    </row>
    <row r="24" spans="1:7" x14ac:dyDescent="0.25">
      <c r="B24" t="str">
        <f>IS!A16</f>
        <v>Net income</v>
      </c>
      <c r="C24" s="18"/>
      <c r="D24" s="11">
        <f>IS!C16/IS!B16-1</f>
        <v>-0.34987641727804153</v>
      </c>
      <c r="E24" s="11">
        <f>IS!D16/IS!C16-1</f>
        <v>1.3679922756623015</v>
      </c>
      <c r="F24" s="11">
        <f>IS!E16/IS!D16-1</f>
        <v>0.12846585117227316</v>
      </c>
      <c r="G24" s="11"/>
    </row>
  </sheetData>
  <pageMargins left="0.7" right="0.7" top="0.75" bottom="0.75" header="0.3" footer="0.3"/>
  <pageSetup paperSize="9" orientation="portrait" r:id="rId1"/>
  <ignoredErrors>
    <ignoredError sqref="C15" formulaRange="1"/>
  </ignoredError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J59"/>
  <sheetViews>
    <sheetView workbookViewId="0">
      <selection activeCell="A40" sqref="A40"/>
    </sheetView>
  </sheetViews>
  <sheetFormatPr defaultRowHeight="15" x14ac:dyDescent="0.25"/>
  <cols>
    <col min="1" max="1" width="38.7109375" bestFit="1" customWidth="1"/>
    <col min="2" max="2" width="52.7109375" bestFit="1" customWidth="1"/>
    <col min="3" max="3" width="15.42578125" customWidth="1"/>
    <col min="4" max="4" width="12.5703125" customWidth="1"/>
    <col min="5" max="5" width="18.28515625" customWidth="1"/>
    <col min="6" max="6" width="20.42578125" bestFit="1" customWidth="1"/>
    <col min="7" max="7" width="9.7109375" customWidth="1"/>
    <col min="8" max="8" width="9" customWidth="1"/>
    <col min="9" max="9" width="10.5703125" bestFit="1" customWidth="1"/>
  </cols>
  <sheetData>
    <row r="1" spans="1:10" ht="15" customHeight="1" x14ac:dyDescent="0.25">
      <c r="A1" s="262" t="s">
        <v>97</v>
      </c>
      <c r="B1" s="263" t="s">
        <v>98</v>
      </c>
      <c r="C1" s="261">
        <v>2017</v>
      </c>
      <c r="D1" s="261">
        <v>2018</v>
      </c>
      <c r="E1" s="261">
        <v>2019</v>
      </c>
      <c r="F1" s="261">
        <v>2020</v>
      </c>
    </row>
    <row r="2" spans="1:10" ht="12.75" customHeight="1" x14ac:dyDescent="0.25">
      <c r="A2" s="262"/>
      <c r="B2" s="263"/>
      <c r="C2" s="261"/>
      <c r="D2" s="261"/>
      <c r="E2" s="261"/>
      <c r="F2" s="261"/>
    </row>
    <row r="3" spans="1:10" ht="15.75" thickBot="1" x14ac:dyDescent="0.3">
      <c r="A3" s="19" t="s">
        <v>99</v>
      </c>
      <c r="B3" s="20"/>
      <c r="G3" s="28" t="s">
        <v>175</v>
      </c>
    </row>
    <row r="4" spans="1:10" x14ac:dyDescent="0.25">
      <c r="A4" s="21" t="s">
        <v>100</v>
      </c>
      <c r="B4" s="234" t="s">
        <v>101</v>
      </c>
      <c r="C4" s="185">
        <f>BS!B10/BS!B26</f>
        <v>2.9185756570095971</v>
      </c>
      <c r="D4" s="185">
        <f>BS!C10/BS!C26</f>
        <v>2.9008001641362329</v>
      </c>
      <c r="E4" s="185">
        <f>BS!D10/BS!D26</f>
        <v>2.5288389513108616</v>
      </c>
      <c r="F4" s="185">
        <f>BS!E10/BS!E26</f>
        <v>2.5157654542940118</v>
      </c>
      <c r="G4" s="29">
        <v>1.0995099886920467</v>
      </c>
      <c r="H4" s="29">
        <v>0.91029854479897176</v>
      </c>
      <c r="I4" s="29">
        <v>1.3237197071454245</v>
      </c>
    </row>
    <row r="5" spans="1:10" x14ac:dyDescent="0.25">
      <c r="A5" s="21" t="s">
        <v>102</v>
      </c>
      <c r="B5" s="234" t="s">
        <v>103</v>
      </c>
      <c r="C5" s="198">
        <f>(BS!B10-BS!B8)/BS!B26</f>
        <v>2.8794510718450086</v>
      </c>
      <c r="D5" s="198">
        <f>(BS!C10-BS!C8)/BS!C26</f>
        <v>2.8552865545069075</v>
      </c>
      <c r="E5" s="198">
        <f>(BS!D10-BS!D8)/BS!D26</f>
        <v>2.4991212906943243</v>
      </c>
      <c r="F5" s="198">
        <f>(BS!E10-BS!E8)/BS!E26</f>
        <v>2.4895588438666851</v>
      </c>
    </row>
    <row r="6" spans="1:10" x14ac:dyDescent="0.25">
      <c r="A6" s="25" t="s">
        <v>104</v>
      </c>
      <c r="B6" s="22"/>
    </row>
    <row r="7" spans="1:10" ht="15.75" thickBot="1" x14ac:dyDescent="0.3">
      <c r="A7" s="19" t="s">
        <v>105</v>
      </c>
      <c r="B7" s="22"/>
    </row>
    <row r="8" spans="1:10" x14ac:dyDescent="0.25">
      <c r="A8" s="21" t="s">
        <v>106</v>
      </c>
      <c r="B8" s="234" t="s">
        <v>107</v>
      </c>
      <c r="C8" s="198">
        <f>IS!B20</f>
        <v>3.2906016008262329</v>
      </c>
      <c r="D8" s="198">
        <f>IS!C20</f>
        <v>2.1520779220779223</v>
      </c>
      <c r="E8" s="198">
        <f>IS!D20</f>
        <v>5.114036230939659</v>
      </c>
      <c r="F8" s="198">
        <f>IS!E20</f>
        <v>5.8187910643889618</v>
      </c>
      <c r="G8" t="s">
        <v>176</v>
      </c>
    </row>
    <row r="9" spans="1:10" x14ac:dyDescent="0.25">
      <c r="A9" s="21" t="s">
        <v>108</v>
      </c>
      <c r="B9" s="234" t="s">
        <v>109</v>
      </c>
      <c r="C9" s="198">
        <f>IS!B17/IS!B23</f>
        <v>1.5543506325845597</v>
      </c>
      <c r="D9" s="198">
        <f>IS!C17/IS!C23</f>
        <v>1.6775324675324674</v>
      </c>
      <c r="E9" s="198">
        <f>IS!D17/IS!D23</f>
        <v>1.8380033885051479</v>
      </c>
      <c r="F9" s="198">
        <f>IS!E17/IS!E23</f>
        <v>2.0345597897503285</v>
      </c>
      <c r="G9" s="14">
        <f>D9/C9-1</f>
        <v>7.924970876299775E-2</v>
      </c>
      <c r="H9" s="14">
        <f>E9/D9-1</f>
        <v>9.5658906208069938E-2</v>
      </c>
      <c r="I9" s="14">
        <f>F9/E9-1</f>
        <v>0.10694017349175855</v>
      </c>
      <c r="J9" s="14"/>
    </row>
    <row r="10" spans="1:10" x14ac:dyDescent="0.25">
      <c r="A10" s="21" t="s">
        <v>110</v>
      </c>
      <c r="B10" s="234" t="s">
        <v>111</v>
      </c>
      <c r="C10" s="185">
        <f>BS!B38/IS!B23</f>
        <v>11.323392718822618</v>
      </c>
      <c r="D10" s="185">
        <f>BS!C38/IS!C23</f>
        <v>10.742597402597402</v>
      </c>
      <c r="E10" s="185">
        <f>BS!D38/IS!D23</f>
        <v>13.336374299491725</v>
      </c>
      <c r="F10" s="185">
        <f>BS!E38/IS!E23</f>
        <v>15.545860709592642</v>
      </c>
    </row>
    <row r="11" spans="1:10" x14ac:dyDescent="0.25">
      <c r="A11" s="21" t="s">
        <v>112</v>
      </c>
      <c r="B11" s="234" t="s">
        <v>113</v>
      </c>
      <c r="C11" s="182">
        <f>C9/C8</f>
        <v>0.47236062615245794</v>
      </c>
      <c r="D11" s="182">
        <f>D9/D8</f>
        <v>0.77949429726630848</v>
      </c>
      <c r="E11" s="182">
        <f>E9/E8</f>
        <v>0.35940366972477061</v>
      </c>
      <c r="F11" s="182">
        <f>F9/F8</f>
        <v>0.34965335019534338</v>
      </c>
      <c r="G11" s="14"/>
      <c r="H11" s="14">
        <f>12916/IS!C16</f>
        <v>0.77943395087803991</v>
      </c>
      <c r="I11" s="14">
        <f>14107/IS!D16</f>
        <v>0.35950560652395513</v>
      </c>
    </row>
    <row r="12" spans="1:10" x14ac:dyDescent="0.25">
      <c r="A12" s="21" t="s">
        <v>114</v>
      </c>
      <c r="B12" s="234" t="s">
        <v>115</v>
      </c>
      <c r="C12" s="190">
        <f>1-C11</f>
        <v>0.527639373847542</v>
      </c>
      <c r="D12" s="190">
        <f>1-D11</f>
        <v>0.22050570273369152</v>
      </c>
      <c r="E12" s="190">
        <f>1-E11</f>
        <v>0.64059633027522933</v>
      </c>
      <c r="F12" s="190">
        <f>1-F11</f>
        <v>0.65034664980465662</v>
      </c>
    </row>
    <row r="13" spans="1:10" x14ac:dyDescent="0.25">
      <c r="A13" s="25" t="s">
        <v>104</v>
      </c>
      <c r="B13" s="22"/>
    </row>
    <row r="14" spans="1:10" ht="15.75" thickBot="1" x14ac:dyDescent="0.3">
      <c r="A14" s="19" t="s">
        <v>116</v>
      </c>
      <c r="B14" s="22"/>
    </row>
    <row r="15" spans="1:10" x14ac:dyDescent="0.25">
      <c r="A15" s="21" t="s">
        <v>117</v>
      </c>
      <c r="B15" s="234" t="s">
        <v>118</v>
      </c>
      <c r="C15" s="242">
        <f>-IS!B11/IS!B12</f>
        <v>13.062556255625562</v>
      </c>
      <c r="D15" s="242">
        <f>-IS!C11/IS!C12</f>
        <v>12.827661909989024</v>
      </c>
      <c r="E15" s="242">
        <f>-IS!D11/IS!D12</f>
        <v>15.99367088607595</v>
      </c>
      <c r="F15" s="242">
        <f>-IS!E11/IS!E12</f>
        <v>20.439598610575068</v>
      </c>
    </row>
    <row r="16" spans="1:10" x14ac:dyDescent="0.25">
      <c r="A16" s="21" t="s">
        <v>119</v>
      </c>
      <c r="B16" s="234" t="s">
        <v>120</v>
      </c>
      <c r="C16" s="182">
        <f>BS!B27/BS!B38</f>
        <v>0.86731424792785394</v>
      </c>
      <c r="D16" s="182">
        <f>BS!C27/BS!C38</f>
        <v>0.87335283735099978</v>
      </c>
      <c r="E16" s="182">
        <f>BS!D27/BS!D38</f>
        <v>0.65144141502980557</v>
      </c>
      <c r="F16" s="182">
        <f>BS!E27/BS!E38</f>
        <v>0.50360089261563434</v>
      </c>
    </row>
    <row r="17" spans="1:6" x14ac:dyDescent="0.25">
      <c r="A17" s="21" t="s">
        <v>121</v>
      </c>
      <c r="B17" s="234" t="s">
        <v>122</v>
      </c>
      <c r="C17" s="182">
        <f>BS!B27/(BS!B38+BS!B27)</f>
        <v>0.46447149904752599</v>
      </c>
      <c r="D17" s="182">
        <f>BS!C27/(BS!C38+BS!C27)</f>
        <v>0.46619772844605062</v>
      </c>
      <c r="E17" s="182">
        <f>BS!D27/(BS!D38+BS!D27)</f>
        <v>0.39446837720128763</v>
      </c>
      <c r="F17" s="182">
        <f>BS!E27/(BS!E38+BS!E27)</f>
        <v>0.33492989734767992</v>
      </c>
    </row>
    <row r="18" spans="1:6" x14ac:dyDescent="0.25">
      <c r="A18" s="25" t="s">
        <v>104</v>
      </c>
      <c r="B18" s="22"/>
    </row>
    <row r="19" spans="1:6" ht="15.75" thickBot="1" x14ac:dyDescent="0.3">
      <c r="A19" s="19" t="s">
        <v>123</v>
      </c>
      <c r="B19" s="22"/>
    </row>
    <row r="20" spans="1:6" x14ac:dyDescent="0.25">
      <c r="A20" s="21" t="s">
        <v>124</v>
      </c>
      <c r="B20" s="234" t="s">
        <v>125</v>
      </c>
      <c r="C20" s="182">
        <f>IS!B5/IS!B3</f>
        <v>0.64522475691460168</v>
      </c>
      <c r="D20" s="182">
        <f>IS!C5/IS!C3</f>
        <v>0.65247372236317502</v>
      </c>
      <c r="E20" s="182">
        <f>IS!D5/IS!D3</f>
        <v>0.65901957200638894</v>
      </c>
      <c r="F20" s="182">
        <f>IS!E5/IS!E3</f>
        <v>0.67781001992797962</v>
      </c>
    </row>
    <row r="21" spans="1:6" x14ac:dyDescent="0.25">
      <c r="A21" s="21" t="s">
        <v>126</v>
      </c>
      <c r="B21" s="234" t="s">
        <v>127</v>
      </c>
      <c r="C21" s="182">
        <f>(IS!B11+CFS!B7)/IS!B3</f>
        <v>0.39145292064905612</v>
      </c>
      <c r="D21" s="182">
        <f>(IS!C11+CFS!C7)/IS!C3</f>
        <v>0.41064697354113811</v>
      </c>
      <c r="E21" s="182">
        <f>(IS!D11+CFS!D7)/IS!D3</f>
        <v>0.43419975683987189</v>
      </c>
      <c r="F21" s="182">
        <f>(IS!E11+CFS!E7)/IS!E3</f>
        <v>0.45977694647414608</v>
      </c>
    </row>
    <row r="22" spans="1:6" x14ac:dyDescent="0.25">
      <c r="A22" s="21" t="s">
        <v>128</v>
      </c>
      <c r="B22" s="234" t="s">
        <v>129</v>
      </c>
      <c r="C22" s="182">
        <f>IS!B11/IS!B3</f>
        <v>0.30055606755651282</v>
      </c>
      <c r="D22" s="182">
        <f>IS!C11/IS!C3</f>
        <v>0.31766944545125048</v>
      </c>
      <c r="E22" s="182">
        <f>IS!D11/IS!D3</f>
        <v>0.3413698020549415</v>
      </c>
      <c r="F22" s="182">
        <f>IS!E11/IS!E3</f>
        <v>0.37030381428521486</v>
      </c>
    </row>
    <row r="23" spans="1:6" x14ac:dyDescent="0.25">
      <c r="A23" s="21" t="s">
        <v>419</v>
      </c>
      <c r="B23" s="234" t="s">
        <v>420</v>
      </c>
      <c r="C23" s="182">
        <f>IS!B14/IS!B3</f>
        <v>0.30962711372979468</v>
      </c>
      <c r="D23" s="182">
        <f>IS!C14/IS!C3</f>
        <v>0.33050018122508157</v>
      </c>
      <c r="E23" s="182">
        <f>IS!D14/IS!D3</f>
        <v>0.34716273451840785</v>
      </c>
      <c r="F23" s="182">
        <f>IS!E14/IS!E3</f>
        <v>0.37084221934762091</v>
      </c>
    </row>
    <row r="24" spans="1:6" x14ac:dyDescent="0.25">
      <c r="A24" s="21" t="s">
        <v>130</v>
      </c>
      <c r="B24" s="234" t="s">
        <v>131</v>
      </c>
      <c r="C24" s="182">
        <f>IS!B16/IS!B3</f>
        <v>0.26394052044609667</v>
      </c>
      <c r="D24" s="182">
        <f>IS!C16/IS!C3</f>
        <v>0.15015404131931859</v>
      </c>
      <c r="E24" s="182">
        <f>IS!D16/IS!D3</f>
        <v>0.31181710544090652</v>
      </c>
      <c r="F24" s="182">
        <f>IS!E16/IS!E3</f>
        <v>0.30962486452470023</v>
      </c>
    </row>
    <row r="25" spans="1:6" x14ac:dyDescent="0.25">
      <c r="A25" s="21" t="s">
        <v>132</v>
      </c>
      <c r="B25" s="234" t="s">
        <v>133</v>
      </c>
      <c r="C25" s="235"/>
      <c r="D25" s="182">
        <f>IS!C16/AVERAGE(BS!B17:C17)</f>
        <v>6.5091523293267339E-2</v>
      </c>
      <c r="E25" s="182">
        <f>IS!D16/AVERAGE(BS!C17:D17)</f>
        <v>0.14389333411562805</v>
      </c>
      <c r="F25" s="182">
        <f>IS!E16/AVERAGE(BS!D17:E17)</f>
        <v>0.15064972179081323</v>
      </c>
    </row>
    <row r="26" spans="1:6" x14ac:dyDescent="0.25">
      <c r="A26" s="21" t="s">
        <v>134</v>
      </c>
      <c r="B26" s="234" t="s">
        <v>135</v>
      </c>
      <c r="C26" s="235"/>
      <c r="D26" s="182">
        <f>IS!C16/AVERAGE(BS!B38:C38)</f>
        <v>0.19446221006988249</v>
      </c>
      <c r="E26" s="182">
        <f>IS!D16/AVERAGE(BS!C38:D38)</f>
        <v>0.42410617785655613</v>
      </c>
      <c r="F26" s="182">
        <f>IS!E16/AVERAGE(BS!D38:E38)</f>
        <v>0.40139779000516695</v>
      </c>
    </row>
    <row r="27" spans="1:6" x14ac:dyDescent="0.25">
      <c r="A27" s="21" t="s">
        <v>136</v>
      </c>
      <c r="B27" s="234" t="s">
        <v>137</v>
      </c>
      <c r="C27" s="235"/>
      <c r="D27" s="190">
        <f>D26*D12</f>
        <v>4.2880026286606178E-2</v>
      </c>
      <c r="E27" s="190">
        <f>E26*E12</f>
        <v>0.27168086118196361</v>
      </c>
      <c r="F27" s="190">
        <f>F26*F12</f>
        <v>0.2610477079688534</v>
      </c>
    </row>
    <row r="28" spans="1:6" x14ac:dyDescent="0.25">
      <c r="A28" s="25" t="s">
        <v>104</v>
      </c>
      <c r="B28" s="22"/>
    </row>
    <row r="29" spans="1:6" ht="15.75" thickBot="1" x14ac:dyDescent="0.3">
      <c r="A29" s="19" t="s">
        <v>138</v>
      </c>
      <c r="B29" s="22"/>
    </row>
    <row r="30" spans="1:6" x14ac:dyDescent="0.25">
      <c r="A30" s="21" t="s">
        <v>139</v>
      </c>
      <c r="B30" s="234" t="s">
        <v>140</v>
      </c>
      <c r="C30" s="235"/>
      <c r="D30" s="182">
        <f>IS!C3/AVERAGE(BS!B17:C17)</f>
        <v>0.43349831094351482</v>
      </c>
      <c r="E30" s="182">
        <f>IS!D3/AVERAGE(BS!C17:D17)</f>
        <v>0.46146709595089147</v>
      </c>
      <c r="F30" s="182">
        <f>IS!E3/AVERAGE(BS!D17:E17)</f>
        <v>0.48655563248149669</v>
      </c>
    </row>
    <row r="31" spans="1:6" x14ac:dyDescent="0.25">
      <c r="A31" s="21" t="s">
        <v>141</v>
      </c>
      <c r="B31" s="234" t="s">
        <v>142</v>
      </c>
      <c r="C31" s="235"/>
      <c r="D31" s="169">
        <f>IS!C3/AVERAGE(BS!B7:C7)</f>
        <v>4.5125940464507686</v>
      </c>
      <c r="E31" s="169">
        <f>IS!D3/AVERAGE(BS!C7:D7)</f>
        <v>4.4939916078921529</v>
      </c>
      <c r="F31" s="169">
        <f>IS!E3/AVERAGE(BS!D7:E7)</f>
        <v>4.6482489640042255</v>
      </c>
    </row>
    <row r="32" spans="1:6" x14ac:dyDescent="0.25">
      <c r="A32" s="21" t="s">
        <v>143</v>
      </c>
      <c r="B32" s="234" t="s">
        <v>144</v>
      </c>
      <c r="C32" s="235"/>
      <c r="D32" s="169">
        <f>365/D31</f>
        <v>80.88474084813339</v>
      </c>
      <c r="E32" s="169">
        <f>365/E31</f>
        <v>81.219555318929139</v>
      </c>
      <c r="F32" s="169">
        <f>365/F31</f>
        <v>78.524193266440577</v>
      </c>
    </row>
    <row r="33" spans="1:6" x14ac:dyDescent="0.25">
      <c r="A33" s="21" t="s">
        <v>145</v>
      </c>
      <c r="B33" s="234" t="s">
        <v>146</v>
      </c>
      <c r="C33" s="235"/>
      <c r="D33" s="169">
        <f>IS!C4/AVERAGE(BS!B19:C19)</f>
        <v>4.7920284875367027</v>
      </c>
      <c r="E33" s="169">
        <f>IS!D4/AVERAGE(BS!C19:D19)</f>
        <v>4.7680426690371691</v>
      </c>
      <c r="F33" s="169">
        <f>IS!E4/AVERAGE(BS!D19:E19)</f>
        <v>4.2057320189850307</v>
      </c>
    </row>
    <row r="34" spans="1:6" x14ac:dyDescent="0.25">
      <c r="A34" s="21" t="s">
        <v>147</v>
      </c>
      <c r="B34" s="234" t="s">
        <v>148</v>
      </c>
      <c r="C34" s="235"/>
      <c r="D34" s="169">
        <f>365/D33</f>
        <v>76.168161551899459</v>
      </c>
      <c r="E34" s="169">
        <f>365/E33</f>
        <v>76.55132836168724</v>
      </c>
      <c r="F34" s="169">
        <f>365/F33</f>
        <v>86.786318850644562</v>
      </c>
    </row>
    <row r="35" spans="1:6" x14ac:dyDescent="0.25">
      <c r="A35" s="21" t="s">
        <v>149</v>
      </c>
      <c r="B35" s="234" t="s">
        <v>150</v>
      </c>
      <c r="C35" s="235"/>
      <c r="D35" s="169">
        <f>IS!C4/AVERAGE(BS!B8:C8)</f>
        <v>15.838529836877969</v>
      </c>
      <c r="E35" s="169">
        <f>IS!D4/AVERAGE(BS!C8:D8)</f>
        <v>18.162962962962961</v>
      </c>
      <c r="F35" s="169">
        <f>IS!E4/AVERAGE(BS!D8:E8)</f>
        <v>23.283476503284486</v>
      </c>
    </row>
    <row r="36" spans="1:6" x14ac:dyDescent="0.25">
      <c r="A36" s="21" t="s">
        <v>151</v>
      </c>
      <c r="B36" s="234" t="s">
        <v>152</v>
      </c>
      <c r="C36" s="235"/>
      <c r="D36" s="169">
        <f>365/D35</f>
        <v>23.045068182410763</v>
      </c>
      <c r="E36" s="169">
        <f>365/E35</f>
        <v>20.09584013050571</v>
      </c>
      <c r="F36" s="169">
        <f>365/F35</f>
        <v>15.676353140327272</v>
      </c>
    </row>
    <row r="37" spans="1:6" x14ac:dyDescent="0.25">
      <c r="A37" s="21" t="s">
        <v>153</v>
      </c>
      <c r="B37" s="234" t="s">
        <v>154</v>
      </c>
      <c r="C37" s="235"/>
      <c r="D37" s="169">
        <f>D36+D32</f>
        <v>103.92980903054415</v>
      </c>
      <c r="E37" s="169">
        <f>E36+E32</f>
        <v>101.31539544943485</v>
      </c>
      <c r="F37" s="169">
        <f>F36+F32</f>
        <v>94.200546406767842</v>
      </c>
    </row>
    <row r="38" spans="1:6" x14ac:dyDescent="0.25">
      <c r="A38" s="21" t="s">
        <v>155</v>
      </c>
      <c r="B38" s="234" t="s">
        <v>156</v>
      </c>
      <c r="C38" s="235"/>
      <c r="D38" s="169">
        <f>D37-D34</f>
        <v>27.76164747864469</v>
      </c>
      <c r="E38" s="169">
        <f>E37-E34</f>
        <v>24.764067087747605</v>
      </c>
      <c r="F38" s="169">
        <f>F37-F34</f>
        <v>7.4142275561232793</v>
      </c>
    </row>
    <row r="39" spans="1:6" x14ac:dyDescent="0.25">
      <c r="A39" s="25" t="s">
        <v>104</v>
      </c>
      <c r="B39" s="22"/>
    </row>
    <row r="40" spans="1:6" ht="15.75" thickBot="1" x14ac:dyDescent="0.3">
      <c r="A40" s="19" t="s">
        <v>157</v>
      </c>
      <c r="B40" s="22"/>
    </row>
    <row r="41" spans="1:6" x14ac:dyDescent="0.25">
      <c r="A41" s="21" t="s">
        <v>158</v>
      </c>
      <c r="B41" s="22"/>
    </row>
    <row r="42" spans="1:6" x14ac:dyDescent="0.25">
      <c r="A42" s="21" t="s">
        <v>159</v>
      </c>
      <c r="B42" s="234" t="s">
        <v>131</v>
      </c>
      <c r="C42" s="182">
        <f>IS!B16/IS!B3</f>
        <v>0.26394052044609667</v>
      </c>
      <c r="D42" s="182">
        <f>IS!C16/IS!C3</f>
        <v>0.15015404131931859</v>
      </c>
      <c r="E42" s="182">
        <f>IS!D16/IS!D3</f>
        <v>0.31181710544090652</v>
      </c>
      <c r="F42" s="182">
        <f>IS!E16/IS!E3</f>
        <v>0.30962486452470023</v>
      </c>
    </row>
    <row r="43" spans="1:6" x14ac:dyDescent="0.25">
      <c r="A43" s="21" t="s">
        <v>139</v>
      </c>
      <c r="B43" s="234" t="s">
        <v>140</v>
      </c>
      <c r="C43" s="235"/>
      <c r="D43" s="190">
        <f>D30</f>
        <v>0.43349831094351482</v>
      </c>
      <c r="E43" s="190">
        <f>E30</f>
        <v>0.46146709595089147</v>
      </c>
      <c r="F43" s="190">
        <f>F30</f>
        <v>0.48655563248149669</v>
      </c>
    </row>
    <row r="44" spans="1:6" ht="15.75" thickBot="1" x14ac:dyDescent="0.3">
      <c r="A44" s="27" t="s">
        <v>160</v>
      </c>
      <c r="B44" s="236"/>
      <c r="C44" s="235"/>
      <c r="D44" s="238">
        <f>D42*D43</f>
        <v>6.5091523293267339E-2</v>
      </c>
      <c r="E44" s="238">
        <f>E42*E43</f>
        <v>0.14389333411562805</v>
      </c>
      <c r="F44" s="238">
        <f>F42*F43</f>
        <v>0.15064972179081323</v>
      </c>
    </row>
    <row r="45" spans="1:6" ht="15.75" thickTop="1" x14ac:dyDescent="0.25">
      <c r="A45" s="25" t="s">
        <v>104</v>
      </c>
      <c r="B45" s="22"/>
    </row>
    <row r="46" spans="1:6" ht="15.75" thickBot="1" x14ac:dyDescent="0.3">
      <c r="A46" s="19" t="s">
        <v>161</v>
      </c>
      <c r="B46" s="22"/>
    </row>
    <row r="47" spans="1:6" x14ac:dyDescent="0.25">
      <c r="A47" s="21" t="s">
        <v>159</v>
      </c>
      <c r="B47" s="234" t="s">
        <v>131</v>
      </c>
      <c r="C47" s="190">
        <f>C24</f>
        <v>0.26394052044609667</v>
      </c>
      <c r="D47" s="190">
        <f>D24</f>
        <v>0.15015404131931859</v>
      </c>
      <c r="E47" s="190">
        <f>E24</f>
        <v>0.31181710544090652</v>
      </c>
      <c r="F47" s="190">
        <f>F24</f>
        <v>0.30962486452470023</v>
      </c>
    </row>
    <row r="48" spans="1:6" x14ac:dyDescent="0.25">
      <c r="A48" s="21" t="s">
        <v>139</v>
      </c>
      <c r="B48" s="234" t="s">
        <v>140</v>
      </c>
      <c r="C48" s="235"/>
      <c r="D48" s="190">
        <f>D43</f>
        <v>0.43349831094351482</v>
      </c>
      <c r="E48" s="190">
        <f>E43</f>
        <v>0.46146709595089147</v>
      </c>
      <c r="F48" s="190">
        <f>F43</f>
        <v>0.48655563248149669</v>
      </c>
    </row>
    <row r="49" spans="1:8" x14ac:dyDescent="0.25">
      <c r="A49" s="21" t="s">
        <v>162</v>
      </c>
      <c r="B49" s="234" t="s">
        <v>163</v>
      </c>
      <c r="C49" s="235"/>
      <c r="D49" s="239">
        <f>AVERAGE(BS!B17:C17)/AVERAGE(BS!B38:C38)</f>
        <v>2.9875197296234797</v>
      </c>
      <c r="E49" s="239">
        <f>AVERAGE(BS!C17:D17)/AVERAGE(BS!C38:D38)</f>
        <v>2.947365007997925</v>
      </c>
      <c r="F49" s="239">
        <f>AVERAGE(BS!D17:E17)/AVERAGE(BS!D38:E38)</f>
        <v>2.6644442832926929</v>
      </c>
    </row>
    <row r="50" spans="1:8" ht="15.75" thickBot="1" x14ac:dyDescent="0.3">
      <c r="A50" s="27" t="s">
        <v>164</v>
      </c>
      <c r="B50" s="236"/>
      <c r="C50" s="235"/>
      <c r="D50" s="238">
        <f>D47*D48*D49</f>
        <v>0.19446221006988246</v>
      </c>
      <c r="E50" s="238">
        <f>E47*E48*E49</f>
        <v>0.42410617785655613</v>
      </c>
      <c r="F50" s="238">
        <f>F47*F48*F49</f>
        <v>0.40139779000516695</v>
      </c>
    </row>
    <row r="51" spans="1:8" ht="15.75" thickTop="1" x14ac:dyDescent="0.25">
      <c r="A51" s="25" t="s">
        <v>104</v>
      </c>
      <c r="B51" s="22"/>
    </row>
    <row r="52" spans="1:8" ht="15.75" thickBot="1" x14ac:dyDescent="0.3">
      <c r="A52" s="19" t="s">
        <v>165</v>
      </c>
      <c r="B52" s="22"/>
    </row>
    <row r="53" spans="1:8" x14ac:dyDescent="0.25">
      <c r="A53" s="21" t="s">
        <v>166</v>
      </c>
      <c r="B53" s="234" t="s">
        <v>167</v>
      </c>
      <c r="C53" s="182">
        <f>IS!B16/IS!B14</f>
        <v>0.85244640647469982</v>
      </c>
      <c r="D53" s="182">
        <f>IS!C16/IS!C14</f>
        <v>0.4543236277896584</v>
      </c>
      <c r="E53" s="182">
        <f>IS!D16/IS!D14</f>
        <v>0.89818714521149967</v>
      </c>
      <c r="F53" s="182">
        <f>IS!E16/IS!E14</f>
        <v>0.8349234482238479</v>
      </c>
      <c r="G53" s="26">
        <f t="shared" ref="G53:H58" si="0">E53/D53-1</f>
        <v>0.97697652129891011</v>
      </c>
      <c r="H53" s="26">
        <f t="shared" si="0"/>
        <v>-7.0434872426007433E-2</v>
      </c>
    </row>
    <row r="54" spans="1:8" x14ac:dyDescent="0.25">
      <c r="A54" s="21" t="s">
        <v>168</v>
      </c>
      <c r="B54" s="234" t="s">
        <v>169</v>
      </c>
      <c r="C54" s="182">
        <f>IS!B14/IS!B11</f>
        <v>1.0301808785529716</v>
      </c>
      <c r="D54" s="182">
        <f>IS!C14/IS!C11</f>
        <v>1.0403902105083005</v>
      </c>
      <c r="E54" s="182">
        <f>IS!D14/IS!D11</f>
        <v>1.0169696687539282</v>
      </c>
      <c r="F54" s="182">
        <f>IS!E14/IS!E11</f>
        <v>1.0014539549462791</v>
      </c>
      <c r="G54" s="26">
        <f t="shared" si="0"/>
        <v>-2.2511305390820358E-2</v>
      </c>
      <c r="H54" s="26">
        <f t="shared" si="0"/>
        <v>-1.5256810782429908E-2</v>
      </c>
    </row>
    <row r="55" spans="1:8" x14ac:dyDescent="0.25">
      <c r="A55" s="21" t="s">
        <v>170</v>
      </c>
      <c r="B55" s="234" t="s">
        <v>171</v>
      </c>
      <c r="C55" s="182">
        <f>IS!B11/IS!B3</f>
        <v>0.30055606755651282</v>
      </c>
      <c r="D55" s="182">
        <f>IS!C11/IS!C3</f>
        <v>0.31766944545125048</v>
      </c>
      <c r="E55" s="182">
        <f>IS!D11/IS!D3</f>
        <v>0.3413698020549415</v>
      </c>
      <c r="F55" s="182">
        <f>IS!E11/IS!E3</f>
        <v>0.37030381428521486</v>
      </c>
      <c r="G55" s="26">
        <f t="shared" si="0"/>
        <v>7.4606975719759827E-2</v>
      </c>
      <c r="H55" s="26">
        <f t="shared" si="0"/>
        <v>8.475855818557898E-2</v>
      </c>
    </row>
    <row r="56" spans="1:8" x14ac:dyDescent="0.25">
      <c r="A56" s="21" t="s">
        <v>172</v>
      </c>
      <c r="B56" s="234" t="s">
        <v>173</v>
      </c>
      <c r="C56" s="235"/>
      <c r="D56" s="190">
        <f>D43</f>
        <v>0.43349831094351482</v>
      </c>
      <c r="E56" s="190">
        <f>E43</f>
        <v>0.46146709595089147</v>
      </c>
      <c r="F56" s="190">
        <f>F43</f>
        <v>0.48655563248149669</v>
      </c>
      <c r="G56" s="26">
        <f t="shared" si="0"/>
        <v>6.4518786581895249E-2</v>
      </c>
      <c r="H56" s="26">
        <f t="shared" si="0"/>
        <v>5.4366902322489974E-2</v>
      </c>
    </row>
    <row r="57" spans="1:8" x14ac:dyDescent="0.25">
      <c r="A57" s="21" t="s">
        <v>162</v>
      </c>
      <c r="B57" s="234" t="s">
        <v>174</v>
      </c>
      <c r="C57" s="235"/>
      <c r="D57" s="198">
        <f>D49</f>
        <v>2.9875197296234797</v>
      </c>
      <c r="E57" s="198">
        <f>E49</f>
        <v>2.947365007997925</v>
      </c>
      <c r="F57" s="198">
        <f>F49</f>
        <v>2.6644442832926929</v>
      </c>
      <c r="G57" s="26">
        <f t="shared" si="0"/>
        <v>-1.3440822240399219E-2</v>
      </c>
      <c r="H57" s="26">
        <f t="shared" si="0"/>
        <v>-9.5991071325574828E-2</v>
      </c>
    </row>
    <row r="58" spans="1:8" ht="15.75" thickBot="1" x14ac:dyDescent="0.3">
      <c r="A58" s="27" t="s">
        <v>164</v>
      </c>
      <c r="B58" s="237"/>
      <c r="C58" s="235"/>
      <c r="D58" s="178">
        <f>PRODUCT(D53:D57)</f>
        <v>0.19446221006988251</v>
      </c>
      <c r="E58" s="178">
        <f>PRODUCT(E53:E57)</f>
        <v>0.42410617785655624</v>
      </c>
      <c r="F58" s="178">
        <f>PRODUCT(F53:F57)</f>
        <v>0.4013977900051669</v>
      </c>
      <c r="G58" s="26">
        <f t="shared" si="0"/>
        <v>1.1809182241842682</v>
      </c>
      <c r="H58" s="26">
        <f t="shared" si="0"/>
        <v>-5.3544110029611347E-2</v>
      </c>
    </row>
    <row r="59" spans="1:8" ht="15.75" thickTop="1" x14ac:dyDescent="0.25">
      <c r="A59" s="25"/>
      <c r="B59" s="20"/>
    </row>
  </sheetData>
  <mergeCells count="6">
    <mergeCell ref="F1:F2"/>
    <mergeCell ref="A1:A2"/>
    <mergeCell ref="B1:B2"/>
    <mergeCell ref="C1:C2"/>
    <mergeCell ref="D1:D2"/>
    <mergeCell ref="E1:E2"/>
  </mergeCells>
  <pageMargins left="0.7" right="0.7" top="0.75" bottom="0.75" header="0.3" footer="0.3"/>
  <pageSetup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L32"/>
  <sheetViews>
    <sheetView workbookViewId="0">
      <selection activeCell="H32" sqref="H32"/>
    </sheetView>
  </sheetViews>
  <sheetFormatPr defaultRowHeight="15" x14ac:dyDescent="0.25"/>
  <cols>
    <col min="1" max="1" width="29" bestFit="1" customWidth="1"/>
    <col min="2" max="2" width="13.42578125" bestFit="1" customWidth="1"/>
    <col min="3" max="3" width="17.28515625" bestFit="1" customWidth="1"/>
    <col min="4" max="4" width="23.140625" bestFit="1" customWidth="1"/>
    <col min="5" max="5" width="16.140625" bestFit="1" customWidth="1"/>
    <col min="6" max="6" width="12" bestFit="1" customWidth="1"/>
    <col min="7" max="7" width="15.7109375" bestFit="1" customWidth="1"/>
    <col min="8" max="9" width="16.140625" bestFit="1" customWidth="1"/>
    <col min="10" max="10" width="16.5703125" customWidth="1"/>
    <col min="11" max="11" width="6" bestFit="1" customWidth="1"/>
    <col min="12" max="12" width="9.85546875" bestFit="1" customWidth="1"/>
    <col min="13" max="13" width="12.28515625" bestFit="1" customWidth="1"/>
    <col min="14" max="14" width="16.42578125" bestFit="1" customWidth="1"/>
    <col min="15" max="15" width="12" bestFit="1" customWidth="1"/>
    <col min="16" max="16" width="8" bestFit="1" customWidth="1"/>
  </cols>
  <sheetData>
    <row r="1" spans="1:12" x14ac:dyDescent="0.25">
      <c r="A1" s="30" t="s">
        <v>177</v>
      </c>
      <c r="B1" s="31">
        <v>44051</v>
      </c>
      <c r="J1" s="259"/>
      <c r="K1" s="259"/>
    </row>
    <row r="2" spans="1:12" x14ac:dyDescent="0.25">
      <c r="A2" s="32"/>
      <c r="B2" s="33"/>
      <c r="E2" t="s">
        <v>178</v>
      </c>
      <c r="H2" t="s">
        <v>179</v>
      </c>
      <c r="J2" s="259"/>
      <c r="K2" s="259"/>
    </row>
    <row r="3" spans="1:12" s="37" customFormat="1" x14ac:dyDescent="0.25">
      <c r="A3" s="34" t="s">
        <v>180</v>
      </c>
      <c r="B3" s="35" t="s">
        <v>181</v>
      </c>
      <c r="C3" s="35" t="s">
        <v>182</v>
      </c>
      <c r="D3" s="35" t="s">
        <v>106</v>
      </c>
      <c r="E3" s="35" t="s">
        <v>183</v>
      </c>
      <c r="F3" s="35" t="s">
        <v>184</v>
      </c>
      <c r="G3" s="35" t="s">
        <v>185</v>
      </c>
      <c r="H3" s="35" t="s">
        <v>186</v>
      </c>
      <c r="I3" s="35" t="s">
        <v>187</v>
      </c>
      <c r="J3" s="36" t="s">
        <v>188</v>
      </c>
    </row>
    <row r="4" spans="1:12" x14ac:dyDescent="0.25">
      <c r="A4" s="38" t="s">
        <v>190</v>
      </c>
      <c r="B4" s="39">
        <v>212.479996</v>
      </c>
      <c r="C4" s="44">
        <v>7610</v>
      </c>
      <c r="D4" s="45">
        <v>5.82</v>
      </c>
      <c r="E4" s="42">
        <v>118304</v>
      </c>
      <c r="F4" s="42">
        <v>143015</v>
      </c>
      <c r="G4" s="42">
        <v>60675</v>
      </c>
      <c r="H4" s="43">
        <f>E4/C4</f>
        <v>15.545860709592642</v>
      </c>
      <c r="I4" s="43">
        <f>F4/C4</f>
        <v>18.793035479632064</v>
      </c>
      <c r="J4" s="43">
        <f>G4/C4</f>
        <v>7.9730617608409986</v>
      </c>
    </row>
    <row r="5" spans="1:12" x14ac:dyDescent="0.25">
      <c r="A5" s="38" t="s">
        <v>189</v>
      </c>
      <c r="B5" s="39">
        <v>444.45001200000002</v>
      </c>
      <c r="C5" s="40">
        <v>4617.8339999999998</v>
      </c>
      <c r="D5" s="41">
        <v>11.965783092246278</v>
      </c>
      <c r="E5" s="42">
        <v>90488</v>
      </c>
      <c r="F5" s="42">
        <v>260174</v>
      </c>
      <c r="G5" s="42">
        <v>69391</v>
      </c>
      <c r="H5" s="43">
        <f>E5/C5</f>
        <v>19.59533408953202</v>
      </c>
      <c r="I5" s="43">
        <f>F5/C5</f>
        <v>56.341133094000348</v>
      </c>
      <c r="J5" s="43">
        <f>G5/C5</f>
        <v>15.026741974700693</v>
      </c>
    </row>
    <row r="6" spans="1:12" x14ac:dyDescent="0.25">
      <c r="A6" s="38" t="s">
        <v>191</v>
      </c>
      <c r="B6" s="39">
        <v>1494.48999</v>
      </c>
      <c r="C6" s="44">
        <v>692.6</v>
      </c>
      <c r="D6" s="45">
        <v>49.59</v>
      </c>
      <c r="E6" s="42">
        <v>201442</v>
      </c>
      <c r="F6" s="42">
        <v>161857</v>
      </c>
      <c r="G6" s="42">
        <v>54520</v>
      </c>
      <c r="H6" s="43">
        <f>E6/C6</f>
        <v>290.84897487727403</v>
      </c>
      <c r="I6" s="43">
        <f>F6/C6</f>
        <v>233.69477331793243</v>
      </c>
      <c r="J6" s="43">
        <f>G6/C6</f>
        <v>78.717874675137168</v>
      </c>
    </row>
    <row r="7" spans="1:12" x14ac:dyDescent="0.25">
      <c r="A7" s="46" t="s">
        <v>210</v>
      </c>
      <c r="B7" s="47">
        <v>124.959999</v>
      </c>
      <c r="C7" s="48">
        <v>887.2</v>
      </c>
      <c r="D7" s="49">
        <v>10.63</v>
      </c>
      <c r="E7" s="42">
        <v>20985</v>
      </c>
      <c r="F7" s="42">
        <v>74745</v>
      </c>
      <c r="G7" s="42">
        <v>14770</v>
      </c>
      <c r="H7" s="43">
        <f>E7/C7</f>
        <v>23.653065825067628</v>
      </c>
      <c r="I7" s="43">
        <f>F7/C7</f>
        <v>84.248196573489622</v>
      </c>
      <c r="J7" s="43">
        <f>G7/C7</f>
        <v>16.647880973850313</v>
      </c>
    </row>
    <row r="8" spans="1:12" x14ac:dyDescent="0.25">
      <c r="A8" s="38" t="s">
        <v>211</v>
      </c>
      <c r="B8" s="39">
        <v>3167.459961</v>
      </c>
      <c r="C8" s="44">
        <v>494</v>
      </c>
      <c r="D8" s="45">
        <v>23.46</v>
      </c>
      <c r="E8" s="62">
        <v>62060</v>
      </c>
      <c r="F8" s="62">
        <v>280522</v>
      </c>
      <c r="G8" s="62">
        <v>38514</v>
      </c>
      <c r="H8" s="43">
        <f>E8/C8</f>
        <v>125.62753036437248</v>
      </c>
      <c r="I8" s="43">
        <f>F8/C8</f>
        <v>567.85829959514172</v>
      </c>
      <c r="J8" s="43">
        <f>G8/C8</f>
        <v>77.963562753036442</v>
      </c>
    </row>
    <row r="9" spans="1:12" s="37" customFormat="1" x14ac:dyDescent="0.25"/>
    <row r="10" spans="1:12" s="37" customFormat="1" x14ac:dyDescent="0.25">
      <c r="A10" s="34" t="s">
        <v>192</v>
      </c>
      <c r="B10" s="35" t="s">
        <v>193</v>
      </c>
      <c r="C10" s="35" t="s">
        <v>194</v>
      </c>
      <c r="D10" s="35" t="s">
        <v>195</v>
      </c>
      <c r="E10" s="36" t="s">
        <v>196</v>
      </c>
      <c r="I10" s="37">
        <v>1</v>
      </c>
      <c r="J10" s="37">
        <v>1</v>
      </c>
    </row>
    <row r="11" spans="1:12" x14ac:dyDescent="0.25">
      <c r="A11" s="50" t="s">
        <v>190</v>
      </c>
      <c r="B11" s="51">
        <f>B4/D4</f>
        <v>36.508590378006872</v>
      </c>
      <c r="C11" s="64">
        <f>B4/H4</f>
        <v>13.667946726737895</v>
      </c>
      <c r="D11" s="51">
        <f>B4/I4</f>
        <v>11.306315907841835</v>
      </c>
      <c r="E11" s="51">
        <f>B4/J4</f>
        <v>26.649736622332096</v>
      </c>
      <c r="H11" s="52"/>
      <c r="I11">
        <v>3</v>
      </c>
      <c r="J11">
        <v>3</v>
      </c>
    </row>
    <row r="12" spans="1:12" x14ac:dyDescent="0.25">
      <c r="A12" s="50" t="s">
        <v>189</v>
      </c>
      <c r="B12" s="51">
        <f>B5/D5</f>
        <v>37.14341205867251</v>
      </c>
      <c r="C12" s="65">
        <f>B5/H5</f>
        <v>22.681420483533817</v>
      </c>
      <c r="D12" s="53">
        <f>B5/I5</f>
        <v>7.8885529557680938</v>
      </c>
      <c r="E12" s="51">
        <f>B5/J5</f>
        <v>29.577270492052399</v>
      </c>
      <c r="F12" s="51"/>
      <c r="H12" s="52"/>
      <c r="I12">
        <v>2</v>
      </c>
      <c r="J12">
        <v>2</v>
      </c>
    </row>
    <row r="13" spans="1:12" x14ac:dyDescent="0.25">
      <c r="A13" s="50" t="s">
        <v>191</v>
      </c>
      <c r="B13" s="51">
        <f>B6/D6</f>
        <v>30.13692256503327</v>
      </c>
      <c r="C13" s="63">
        <f>B6/H6</f>
        <v>5.1383711791681979</v>
      </c>
      <c r="D13" s="53">
        <f>B6/I6</f>
        <v>6.3950509837325544</v>
      </c>
      <c r="E13" s="68">
        <f>B6/J6</f>
        <v>18.985395580961114</v>
      </c>
      <c r="H13" s="52"/>
      <c r="I13">
        <v>4</v>
      </c>
      <c r="J13">
        <v>100</v>
      </c>
    </row>
    <row r="14" spans="1:12" x14ac:dyDescent="0.25">
      <c r="A14" s="54" t="s">
        <v>210</v>
      </c>
      <c r="B14" s="53">
        <f>B7/D7</f>
        <v>11.755409125117591</v>
      </c>
      <c r="C14" s="63">
        <f>B7/H7</f>
        <v>5.2830360311079341</v>
      </c>
      <c r="D14" s="53">
        <f>B7/I7</f>
        <v>1.4832364855548867</v>
      </c>
      <c r="E14" s="53">
        <f>B7/J7</f>
        <v>7.5060603326201774</v>
      </c>
      <c r="H14" s="52"/>
      <c r="I14">
        <f>AVERAGE(I10:I13)</f>
        <v>2.5</v>
      </c>
      <c r="J14">
        <f>AVERAGE(J10:J13)</f>
        <v>26.5</v>
      </c>
      <c r="L14" s="37"/>
    </row>
    <row r="15" spans="1:12" x14ac:dyDescent="0.25">
      <c r="A15" s="50" t="s">
        <v>211</v>
      </c>
      <c r="B15" s="53">
        <f>B8/D8</f>
        <v>135.01534360613812</v>
      </c>
      <c r="C15" s="63">
        <f>B8/H8</f>
        <v>25.213103782371896</v>
      </c>
      <c r="D15" s="53">
        <f>B8/I8</f>
        <v>5.5779055501315407</v>
      </c>
      <c r="E15" s="51">
        <f>B8/J8</f>
        <v>40.627439911045329</v>
      </c>
      <c r="H15" s="52"/>
      <c r="L15" s="37"/>
    </row>
    <row r="17" spans="1:12" s="37" customFormat="1" x14ac:dyDescent="0.25">
      <c r="A17" s="34" t="s">
        <v>197</v>
      </c>
      <c r="B17" s="35" t="s">
        <v>198</v>
      </c>
      <c r="C17" s="35" t="s">
        <v>199</v>
      </c>
      <c r="D17" s="36" t="s">
        <v>212</v>
      </c>
      <c r="E17" s="55" t="s">
        <v>200</v>
      </c>
      <c r="L17"/>
    </row>
    <row r="18" spans="1:12" x14ac:dyDescent="0.25">
      <c r="A18" s="38" t="s">
        <v>193</v>
      </c>
      <c r="B18" s="56">
        <f>AVERAGE(B11:B15)</f>
        <v>50.111935546593671</v>
      </c>
      <c r="C18" s="44" t="s">
        <v>205</v>
      </c>
      <c r="D18" s="57">
        <f>B18*D4</f>
        <v>291.65146488117517</v>
      </c>
      <c r="L18" s="37"/>
    </row>
    <row r="19" spans="1:12" x14ac:dyDescent="0.25">
      <c r="A19" s="38" t="s">
        <v>194</v>
      </c>
      <c r="B19" s="56">
        <f>AVERAGE(C11:C15)</f>
        <v>14.396775640583945</v>
      </c>
      <c r="C19" s="44" t="s">
        <v>213</v>
      </c>
      <c r="D19" s="57">
        <f>B19*H4</f>
        <v>223.81026877577438</v>
      </c>
    </row>
    <row r="20" spans="1:12" x14ac:dyDescent="0.25">
      <c r="A20" s="38" t="s">
        <v>195</v>
      </c>
      <c r="B20" s="56">
        <f>AVERAGE(D11:D15)</f>
        <v>6.5302123766057836</v>
      </c>
      <c r="C20" s="44" t="s">
        <v>201</v>
      </c>
      <c r="D20" s="57">
        <f>B20*I4</f>
        <v>122.7225128830849</v>
      </c>
      <c r="E20" s="23"/>
    </row>
    <row r="21" spans="1:12" x14ac:dyDescent="0.25">
      <c r="A21" s="46" t="s">
        <v>196</v>
      </c>
      <c r="B21" s="56">
        <f>AVERAGE(E11:E15)</f>
        <v>24.669180587802224</v>
      </c>
      <c r="C21" s="44" t="s">
        <v>201</v>
      </c>
      <c r="D21" s="57">
        <f>B21*J4</f>
        <v>196.68890041588699</v>
      </c>
    </row>
    <row r="23" spans="1:12" x14ac:dyDescent="0.25">
      <c r="A23" s="58" t="s">
        <v>202</v>
      </c>
    </row>
    <row r="24" spans="1:12" x14ac:dyDescent="0.25">
      <c r="A24" s="34" t="s">
        <v>197</v>
      </c>
      <c r="B24" s="35" t="s">
        <v>198</v>
      </c>
      <c r="C24" s="35" t="s">
        <v>199</v>
      </c>
      <c r="D24" s="36" t="s">
        <v>212</v>
      </c>
      <c r="F24" s="59" t="s">
        <v>203</v>
      </c>
      <c r="G24" s="35" t="s">
        <v>193</v>
      </c>
      <c r="H24" s="35" t="s">
        <v>194</v>
      </c>
      <c r="I24" s="35" t="s">
        <v>195</v>
      </c>
      <c r="J24" s="36" t="s">
        <v>196</v>
      </c>
    </row>
    <row r="25" spans="1:12" x14ac:dyDescent="0.25">
      <c r="A25" s="38" t="s">
        <v>204</v>
      </c>
      <c r="B25" s="56">
        <f>AVERAGE(B11:B13)</f>
        <v>34.596308333904219</v>
      </c>
      <c r="C25" s="44" t="s">
        <v>201</v>
      </c>
      <c r="D25" s="57">
        <f>B25*D4</f>
        <v>201.35051450332256</v>
      </c>
      <c r="F25" s="60">
        <v>0.75</v>
      </c>
      <c r="G25" s="23">
        <f>B$11*(1+$F$25)</f>
        <v>63.890033161512022</v>
      </c>
      <c r="H25" s="23">
        <f>C$11*(1+$F$25)</f>
        <v>23.918906771791317</v>
      </c>
      <c r="I25" s="23">
        <f>D$11*(1+$F$25)</f>
        <v>19.786052838723212</v>
      </c>
      <c r="J25" s="23">
        <f>E$11*(1+$F$25)</f>
        <v>46.637039089081171</v>
      </c>
    </row>
    <row r="26" spans="1:12" x14ac:dyDescent="0.25">
      <c r="A26" s="38" t="s">
        <v>206</v>
      </c>
      <c r="B26" s="56">
        <f>AVERAGE(C11:C12)</f>
        <v>18.174683605135854</v>
      </c>
      <c r="C26" s="44" t="s">
        <v>205</v>
      </c>
      <c r="D26" s="43">
        <f>B26*H4</f>
        <v>282.54109976635903</v>
      </c>
      <c r="F26" s="61">
        <v>0.25</v>
      </c>
      <c r="G26" s="23">
        <f>B$11*(1-$F$26)</f>
        <v>27.381442783505154</v>
      </c>
      <c r="H26" s="23">
        <f>C$11*(1-$F$26)</f>
        <v>10.250960045053422</v>
      </c>
      <c r="I26" s="23">
        <f>D$11*(1-$F$26)</f>
        <v>8.4797369308813764</v>
      </c>
      <c r="J26" s="23">
        <f>E$11*(1-$F$26)</f>
        <v>19.987302466749071</v>
      </c>
    </row>
    <row r="27" spans="1:12" x14ac:dyDescent="0.25">
      <c r="A27" s="38" t="s">
        <v>208</v>
      </c>
      <c r="B27" s="56">
        <f>D11</f>
        <v>11.306315907841835</v>
      </c>
      <c r="C27" s="44" t="s">
        <v>207</v>
      </c>
      <c r="D27" s="57">
        <f>B27*I4</f>
        <v>212.479996</v>
      </c>
    </row>
    <row r="28" spans="1:12" x14ac:dyDescent="0.25">
      <c r="A28" s="46" t="s">
        <v>209</v>
      </c>
      <c r="B28" s="56">
        <f>AVERAGE(E11:E12,E15)</f>
        <v>32.284815675143271</v>
      </c>
      <c r="C28" s="44" t="s">
        <v>205</v>
      </c>
      <c r="D28" s="57">
        <f>B28*J4</f>
        <v>257.40882931528489</v>
      </c>
      <c r="E28" s="23"/>
    </row>
    <row r="29" spans="1:12" x14ac:dyDescent="0.25">
      <c r="E29" s="23"/>
    </row>
    <row r="30" spans="1:12" x14ac:dyDescent="0.25">
      <c r="E30" s="23"/>
    </row>
    <row r="31" spans="1:12" x14ac:dyDescent="0.25">
      <c r="E31" s="23"/>
    </row>
    <row r="32" spans="1:12" x14ac:dyDescent="0.25">
      <c r="E32" s="23"/>
    </row>
  </sheetData>
  <mergeCells count="1">
    <mergeCell ref="J1:K2"/>
  </mergeCells>
  <pageMargins left="0.7" right="0.7" top="0.75" bottom="0.75" header="0.3" footer="0.3"/>
  <pageSetup paperSize="9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I254"/>
  <sheetViews>
    <sheetView workbookViewId="0">
      <selection activeCell="E254" sqref="E254"/>
    </sheetView>
  </sheetViews>
  <sheetFormatPr defaultRowHeight="15" x14ac:dyDescent="0.25"/>
  <cols>
    <col min="1" max="1" width="10.28515625" customWidth="1"/>
    <col min="9" max="9" width="11.5703125" bestFit="1" customWidth="1"/>
  </cols>
  <sheetData>
    <row r="1" spans="1:9" x14ac:dyDescent="0.25">
      <c r="A1" t="s">
        <v>214</v>
      </c>
      <c r="B1" t="s">
        <v>215</v>
      </c>
      <c r="C1" t="s">
        <v>189</v>
      </c>
      <c r="D1" t="s">
        <v>216</v>
      </c>
      <c r="E1" t="s">
        <v>211</v>
      </c>
      <c r="F1" t="s">
        <v>210</v>
      </c>
    </row>
    <row r="2" spans="1:9" x14ac:dyDescent="0.25">
      <c r="A2" s="66">
        <v>43685</v>
      </c>
      <c r="B2">
        <v>138.88999899999999</v>
      </c>
      <c r="C2">
        <v>203.429993</v>
      </c>
      <c r="D2">
        <v>1204.8000489999999</v>
      </c>
      <c r="E2">
        <v>1832.8900149999999</v>
      </c>
      <c r="F2">
        <v>140.10000600000001</v>
      </c>
      <c r="H2" t="s">
        <v>215</v>
      </c>
      <c r="I2" s="24">
        <f>AVERAGE(B2:B254)</f>
        <v>165.00664047035582</v>
      </c>
    </row>
    <row r="3" spans="1:9" x14ac:dyDescent="0.25">
      <c r="A3" s="66">
        <v>43686</v>
      </c>
      <c r="B3">
        <v>137.71000699999999</v>
      </c>
      <c r="C3">
        <v>200.990005</v>
      </c>
      <c r="D3">
        <v>1188.01001</v>
      </c>
      <c r="E3">
        <v>1807.579956</v>
      </c>
      <c r="F3">
        <v>136.13000500000001</v>
      </c>
      <c r="H3" t="s">
        <v>189</v>
      </c>
      <c r="I3" s="24">
        <f>AVERAGE(C2:C254)</f>
        <v>287.45628398814227</v>
      </c>
    </row>
    <row r="4" spans="1:9" x14ac:dyDescent="0.25">
      <c r="A4" s="66">
        <v>43689</v>
      </c>
      <c r="B4">
        <v>135.78999300000001</v>
      </c>
      <c r="C4">
        <v>200.479996</v>
      </c>
      <c r="D4">
        <v>1174.709961</v>
      </c>
      <c r="E4">
        <v>1784.920044</v>
      </c>
      <c r="F4">
        <v>134.11999499999999</v>
      </c>
      <c r="H4" t="s">
        <v>216</v>
      </c>
      <c r="I4" s="24">
        <f>AVERAGE(D2:D254)</f>
        <v>1331.8174508577067</v>
      </c>
    </row>
    <row r="5" spans="1:9" x14ac:dyDescent="0.25">
      <c r="A5" s="66">
        <v>43690</v>
      </c>
      <c r="B5">
        <v>138.60000600000001</v>
      </c>
      <c r="C5">
        <v>208.970001</v>
      </c>
      <c r="D5">
        <v>1197.2700199999999</v>
      </c>
      <c r="E5">
        <v>1824.339966</v>
      </c>
      <c r="F5">
        <v>135.78999300000001</v>
      </c>
      <c r="H5" t="s">
        <v>211</v>
      </c>
      <c r="I5" s="24">
        <f>AVERAGE(E2:E254)</f>
        <v>2114.3957302252966</v>
      </c>
    </row>
    <row r="6" spans="1:9" x14ac:dyDescent="0.25">
      <c r="A6" s="66">
        <v>43691</v>
      </c>
      <c r="B6">
        <v>133.979996</v>
      </c>
      <c r="C6">
        <v>202.75</v>
      </c>
      <c r="D6">
        <v>1164.290039</v>
      </c>
      <c r="E6">
        <v>1762.959961</v>
      </c>
      <c r="F6">
        <v>131.25</v>
      </c>
      <c r="H6" t="s">
        <v>210</v>
      </c>
      <c r="I6" s="24">
        <f>AVERAGE(F2:F254)</f>
        <v>130.40632435573124</v>
      </c>
    </row>
    <row r="7" spans="1:9" x14ac:dyDescent="0.25">
      <c r="A7" s="66">
        <v>43692</v>
      </c>
      <c r="B7">
        <v>133.679993</v>
      </c>
      <c r="C7">
        <v>201.740005</v>
      </c>
      <c r="D7">
        <v>1167.26001</v>
      </c>
      <c r="E7">
        <v>1776.119995</v>
      </c>
      <c r="F7">
        <v>131.91999799999999</v>
      </c>
    </row>
    <row r="8" spans="1:9" x14ac:dyDescent="0.25">
      <c r="A8" s="66">
        <v>43693</v>
      </c>
      <c r="B8">
        <v>136.13000500000001</v>
      </c>
      <c r="C8">
        <v>206.5</v>
      </c>
      <c r="D8">
        <v>1177.599976</v>
      </c>
      <c r="E8">
        <v>1792.5699460000001</v>
      </c>
      <c r="F8">
        <v>133.759995</v>
      </c>
    </row>
    <row r="9" spans="1:9" x14ac:dyDescent="0.25">
      <c r="A9" s="66">
        <v>43696</v>
      </c>
      <c r="B9">
        <v>138.41000399999999</v>
      </c>
      <c r="C9">
        <v>210.35000600000001</v>
      </c>
      <c r="D9">
        <v>1198.4499510000001</v>
      </c>
      <c r="E9">
        <v>1816.119995</v>
      </c>
      <c r="F9">
        <v>135.03999300000001</v>
      </c>
    </row>
    <row r="10" spans="1:9" x14ac:dyDescent="0.25">
      <c r="A10" s="66">
        <v>43697</v>
      </c>
      <c r="B10">
        <v>137.259995</v>
      </c>
      <c r="C10">
        <v>210.36000100000001</v>
      </c>
      <c r="D10">
        <v>1182.6899410000001</v>
      </c>
      <c r="E10">
        <v>1801.380005</v>
      </c>
      <c r="F10">
        <v>133</v>
      </c>
    </row>
    <row r="11" spans="1:9" x14ac:dyDescent="0.25">
      <c r="A11" s="66">
        <v>43698</v>
      </c>
      <c r="B11">
        <v>138.78999300000001</v>
      </c>
      <c r="C11">
        <v>212.63999899999999</v>
      </c>
      <c r="D11">
        <v>1191.25</v>
      </c>
      <c r="E11">
        <v>1823.540039</v>
      </c>
      <c r="F11">
        <v>134.25</v>
      </c>
    </row>
    <row r="12" spans="1:9" x14ac:dyDescent="0.25">
      <c r="A12" s="66">
        <v>43699</v>
      </c>
      <c r="B12">
        <v>137.779999</v>
      </c>
      <c r="C12">
        <v>212.46000699999999</v>
      </c>
      <c r="D12">
        <v>1189.530029</v>
      </c>
      <c r="E12">
        <v>1804.660034</v>
      </c>
      <c r="F12">
        <v>134.320007</v>
      </c>
    </row>
    <row r="13" spans="1:9" x14ac:dyDescent="0.25">
      <c r="A13" s="66">
        <v>43700</v>
      </c>
      <c r="B13">
        <v>133.38999899999999</v>
      </c>
      <c r="C13">
        <v>202.63999899999999</v>
      </c>
      <c r="D13">
        <v>1151.290039</v>
      </c>
      <c r="E13">
        <v>1749.619995</v>
      </c>
      <c r="F13">
        <v>129.570007</v>
      </c>
    </row>
    <row r="14" spans="1:9" x14ac:dyDescent="0.25">
      <c r="A14" s="66">
        <v>43703</v>
      </c>
      <c r="B14">
        <v>135.449997</v>
      </c>
      <c r="C14">
        <v>206.490005</v>
      </c>
      <c r="D14">
        <v>1168.8900149999999</v>
      </c>
      <c r="E14">
        <v>1768.869995</v>
      </c>
      <c r="F14">
        <v>129.990005</v>
      </c>
    </row>
    <row r="15" spans="1:9" x14ac:dyDescent="0.25">
      <c r="A15" s="66">
        <v>43704</v>
      </c>
      <c r="B15">
        <v>135.740005</v>
      </c>
      <c r="C15">
        <v>204.16000399999999</v>
      </c>
      <c r="D15">
        <v>1167.839966</v>
      </c>
      <c r="E15">
        <v>1761.829956</v>
      </c>
      <c r="F15">
        <v>131.16999799999999</v>
      </c>
    </row>
    <row r="16" spans="1:9" x14ac:dyDescent="0.25">
      <c r="A16" s="66">
        <v>43705</v>
      </c>
      <c r="B16">
        <v>135.55999800000001</v>
      </c>
      <c r="C16">
        <v>205.529999</v>
      </c>
      <c r="D16">
        <v>1171.0200199999999</v>
      </c>
      <c r="E16">
        <v>1764.25</v>
      </c>
      <c r="F16">
        <v>132.759995</v>
      </c>
    </row>
    <row r="17" spans="1:6" x14ac:dyDescent="0.25">
      <c r="A17" s="66">
        <v>43706</v>
      </c>
      <c r="B17">
        <v>138.11999499999999</v>
      </c>
      <c r="C17">
        <v>209.009995</v>
      </c>
      <c r="D17">
        <v>1192.849976</v>
      </c>
      <c r="E17">
        <v>1786.400024</v>
      </c>
      <c r="F17">
        <v>134.88000500000001</v>
      </c>
    </row>
    <row r="18" spans="1:6" x14ac:dyDescent="0.25">
      <c r="A18" s="66">
        <v>43707</v>
      </c>
      <c r="B18">
        <v>137.86000100000001</v>
      </c>
      <c r="C18">
        <v>208.740005</v>
      </c>
      <c r="D18">
        <v>1188.099976</v>
      </c>
      <c r="E18">
        <v>1776.290039</v>
      </c>
      <c r="F18">
        <v>135.529999</v>
      </c>
    </row>
    <row r="19" spans="1:6" x14ac:dyDescent="0.25">
      <c r="A19" s="66">
        <v>43711</v>
      </c>
      <c r="B19">
        <v>136.03999300000001</v>
      </c>
      <c r="C19">
        <v>205.699997</v>
      </c>
      <c r="D19">
        <v>1168.3900149999999</v>
      </c>
      <c r="E19">
        <v>1789.839966</v>
      </c>
      <c r="F19">
        <v>134.10000600000001</v>
      </c>
    </row>
    <row r="20" spans="1:6" x14ac:dyDescent="0.25">
      <c r="A20" s="66">
        <v>43712</v>
      </c>
      <c r="B20">
        <v>137.63000500000001</v>
      </c>
      <c r="C20">
        <v>209.19000199999999</v>
      </c>
      <c r="D20">
        <v>1181.410034</v>
      </c>
      <c r="E20">
        <v>1800.619995</v>
      </c>
      <c r="F20">
        <v>136.320007</v>
      </c>
    </row>
    <row r="21" spans="1:6" x14ac:dyDescent="0.25">
      <c r="A21" s="66">
        <v>43713</v>
      </c>
      <c r="B21">
        <v>140.050003</v>
      </c>
      <c r="C21">
        <v>213.279999</v>
      </c>
      <c r="D21">
        <v>1211.380005</v>
      </c>
      <c r="E21">
        <v>1840.719971</v>
      </c>
      <c r="F21">
        <v>140.970001</v>
      </c>
    </row>
    <row r="22" spans="1:6" x14ac:dyDescent="0.25">
      <c r="A22" s="66">
        <v>43714</v>
      </c>
      <c r="B22">
        <v>139.10000600000001</v>
      </c>
      <c r="C22">
        <v>213.259995</v>
      </c>
      <c r="D22">
        <v>1204.9300539999999</v>
      </c>
      <c r="E22">
        <v>1833.51001</v>
      </c>
      <c r="F22">
        <v>140.570007</v>
      </c>
    </row>
    <row r="23" spans="1:6" x14ac:dyDescent="0.25">
      <c r="A23" s="66">
        <v>43717</v>
      </c>
      <c r="B23">
        <v>137.520004</v>
      </c>
      <c r="C23">
        <v>214.16999799999999</v>
      </c>
      <c r="D23">
        <v>1204.410034</v>
      </c>
      <c r="E23">
        <v>1831.349976</v>
      </c>
      <c r="F23">
        <v>142.60000600000001</v>
      </c>
    </row>
    <row r="24" spans="1:6" x14ac:dyDescent="0.25">
      <c r="A24" s="66">
        <v>43718</v>
      </c>
      <c r="B24">
        <v>136.08000200000001</v>
      </c>
      <c r="C24">
        <v>216.699997</v>
      </c>
      <c r="D24">
        <v>1206</v>
      </c>
      <c r="E24">
        <v>1820.5500489999999</v>
      </c>
      <c r="F24">
        <v>145.050003</v>
      </c>
    </row>
    <row r="25" spans="1:6" x14ac:dyDescent="0.25">
      <c r="A25" s="66">
        <v>43719</v>
      </c>
      <c r="B25">
        <v>136.11999499999999</v>
      </c>
      <c r="C25">
        <v>223.58999600000001</v>
      </c>
      <c r="D25">
        <v>1220.170044</v>
      </c>
      <c r="E25">
        <v>1822.98999</v>
      </c>
      <c r="F25">
        <v>143.60000600000001</v>
      </c>
    </row>
    <row r="26" spans="1:6" x14ac:dyDescent="0.25">
      <c r="A26" s="66">
        <v>43720</v>
      </c>
      <c r="B26">
        <v>137.520004</v>
      </c>
      <c r="C26">
        <v>223.08999600000001</v>
      </c>
      <c r="D26">
        <v>1234.25</v>
      </c>
      <c r="E26">
        <v>1843.5500489999999</v>
      </c>
      <c r="F26">
        <v>143.61999499999999</v>
      </c>
    </row>
    <row r="27" spans="1:6" x14ac:dyDescent="0.25">
      <c r="A27" s="66">
        <v>43721</v>
      </c>
      <c r="B27">
        <v>137.320007</v>
      </c>
      <c r="C27">
        <v>218.75</v>
      </c>
      <c r="D27">
        <v>1239.5600589999999</v>
      </c>
      <c r="E27">
        <v>1839.339966</v>
      </c>
      <c r="F27">
        <v>143.66999799999999</v>
      </c>
    </row>
    <row r="28" spans="1:6" x14ac:dyDescent="0.25">
      <c r="A28" s="66">
        <v>43724</v>
      </c>
      <c r="B28">
        <v>136.33000200000001</v>
      </c>
      <c r="C28">
        <v>219.89999399999999</v>
      </c>
      <c r="D28">
        <v>1231.3000489999999</v>
      </c>
      <c r="E28">
        <v>1807.839966</v>
      </c>
      <c r="F28">
        <v>142.479996</v>
      </c>
    </row>
    <row r="29" spans="1:6" x14ac:dyDescent="0.25">
      <c r="A29" s="66">
        <v>43725</v>
      </c>
      <c r="B29">
        <v>137.38999899999999</v>
      </c>
      <c r="C29">
        <v>220.699997</v>
      </c>
      <c r="D29">
        <v>1229.150024</v>
      </c>
      <c r="E29">
        <v>1822.5500489999999</v>
      </c>
      <c r="F29">
        <v>142.199997</v>
      </c>
    </row>
    <row r="30" spans="1:6" x14ac:dyDescent="0.25">
      <c r="A30" s="66">
        <v>43726</v>
      </c>
      <c r="B30">
        <v>138.520004</v>
      </c>
      <c r="C30">
        <v>222.770004</v>
      </c>
      <c r="D30">
        <v>1232.410034</v>
      </c>
      <c r="E30">
        <v>1817.459961</v>
      </c>
      <c r="F30">
        <v>142.220001</v>
      </c>
    </row>
    <row r="31" spans="1:6" x14ac:dyDescent="0.25">
      <c r="A31" s="66">
        <v>43727</v>
      </c>
      <c r="B31">
        <v>141.070007</v>
      </c>
      <c r="C31">
        <v>220.96000699999999</v>
      </c>
      <c r="D31">
        <v>1238.709961</v>
      </c>
      <c r="E31">
        <v>1821.5</v>
      </c>
      <c r="F31">
        <v>142.970001</v>
      </c>
    </row>
    <row r="32" spans="1:6" x14ac:dyDescent="0.25">
      <c r="A32" s="66">
        <v>43728</v>
      </c>
      <c r="B32">
        <v>139.44000199999999</v>
      </c>
      <c r="C32">
        <v>217.729996</v>
      </c>
      <c r="D32">
        <v>1229.9300539999999</v>
      </c>
      <c r="E32">
        <v>1794.160034</v>
      </c>
      <c r="F32">
        <v>141.88000500000001</v>
      </c>
    </row>
    <row r="33" spans="1:6" x14ac:dyDescent="0.25">
      <c r="A33" s="66">
        <v>43731</v>
      </c>
      <c r="B33">
        <v>139.13999899999999</v>
      </c>
      <c r="C33">
        <v>218.720001</v>
      </c>
      <c r="D33">
        <v>1234.030029</v>
      </c>
      <c r="E33">
        <v>1785.3000489999999</v>
      </c>
      <c r="F33">
        <v>142.070007</v>
      </c>
    </row>
    <row r="34" spans="1:6" x14ac:dyDescent="0.25">
      <c r="A34" s="66">
        <v>43732</v>
      </c>
      <c r="B34">
        <v>137.38000500000001</v>
      </c>
      <c r="C34">
        <v>217.679993</v>
      </c>
      <c r="D34">
        <v>1218.76001</v>
      </c>
      <c r="E34">
        <v>1741.6099850000001</v>
      </c>
      <c r="F34">
        <v>141.679993</v>
      </c>
    </row>
    <row r="35" spans="1:6" x14ac:dyDescent="0.25">
      <c r="A35" s="66">
        <v>43733</v>
      </c>
      <c r="B35">
        <v>139.36000100000001</v>
      </c>
      <c r="C35">
        <v>221.029999</v>
      </c>
      <c r="D35">
        <v>1246.5200199999999</v>
      </c>
      <c r="E35">
        <v>1768.329956</v>
      </c>
      <c r="F35">
        <v>143.16000399999999</v>
      </c>
    </row>
    <row r="36" spans="1:6" x14ac:dyDescent="0.25">
      <c r="A36" s="66">
        <v>43734</v>
      </c>
      <c r="B36">
        <v>139.53999300000001</v>
      </c>
      <c r="C36">
        <v>219.88999899999999</v>
      </c>
      <c r="D36">
        <v>1241.3900149999999</v>
      </c>
      <c r="E36">
        <v>1739.839966</v>
      </c>
      <c r="F36">
        <v>143.550003</v>
      </c>
    </row>
    <row r="37" spans="1:6" x14ac:dyDescent="0.25">
      <c r="A37" s="66">
        <v>43735</v>
      </c>
      <c r="B37">
        <v>137.729996</v>
      </c>
      <c r="C37">
        <v>218.820007</v>
      </c>
      <c r="D37">
        <v>1225.089966</v>
      </c>
      <c r="E37">
        <v>1725.4499510000001</v>
      </c>
      <c r="F37">
        <v>143.240005</v>
      </c>
    </row>
    <row r="38" spans="1:6" x14ac:dyDescent="0.25">
      <c r="A38" s="66">
        <v>43738</v>
      </c>
      <c r="B38">
        <v>139.029999</v>
      </c>
      <c r="C38">
        <v>223.970001</v>
      </c>
      <c r="D38">
        <v>1219</v>
      </c>
      <c r="E38">
        <v>1735.910034</v>
      </c>
      <c r="F38">
        <v>145.41999799999999</v>
      </c>
    </row>
    <row r="39" spans="1:6" x14ac:dyDescent="0.25">
      <c r="A39" s="66">
        <v>43739</v>
      </c>
      <c r="B39">
        <v>137.070007</v>
      </c>
      <c r="C39">
        <v>224.58999600000001</v>
      </c>
      <c r="D39">
        <v>1205.099976</v>
      </c>
      <c r="E39">
        <v>1735.650024</v>
      </c>
      <c r="F39">
        <v>143.66000399999999</v>
      </c>
    </row>
    <row r="40" spans="1:6" x14ac:dyDescent="0.25">
      <c r="A40" s="66">
        <v>43740</v>
      </c>
      <c r="B40">
        <v>134.64999399999999</v>
      </c>
      <c r="C40">
        <v>218.96000699999999</v>
      </c>
      <c r="D40">
        <v>1176.630005</v>
      </c>
      <c r="E40">
        <v>1713.2299800000001</v>
      </c>
      <c r="F40">
        <v>141.69000199999999</v>
      </c>
    </row>
    <row r="41" spans="1:6" x14ac:dyDescent="0.25">
      <c r="A41" s="66">
        <v>43741</v>
      </c>
      <c r="B41">
        <v>136.279999</v>
      </c>
      <c r="C41">
        <v>220.820007</v>
      </c>
      <c r="D41">
        <v>1187.829956</v>
      </c>
      <c r="E41">
        <v>1724.420044</v>
      </c>
      <c r="F41">
        <v>142.020004</v>
      </c>
    </row>
    <row r="42" spans="1:6" x14ac:dyDescent="0.25">
      <c r="A42" s="66">
        <v>43742</v>
      </c>
      <c r="B42">
        <v>138.11999499999999</v>
      </c>
      <c r="C42">
        <v>227.009995</v>
      </c>
      <c r="D42">
        <v>1209</v>
      </c>
      <c r="E42">
        <v>1739.650024</v>
      </c>
      <c r="F42">
        <v>142.990005</v>
      </c>
    </row>
    <row r="43" spans="1:6" x14ac:dyDescent="0.25">
      <c r="A43" s="66">
        <v>43745</v>
      </c>
      <c r="B43">
        <v>137.11999499999999</v>
      </c>
      <c r="C43">
        <v>227.05999800000001</v>
      </c>
      <c r="D43">
        <v>1207.6800539999999</v>
      </c>
      <c r="E43">
        <v>1732.660034</v>
      </c>
      <c r="F43">
        <v>141.279999</v>
      </c>
    </row>
    <row r="44" spans="1:6" x14ac:dyDescent="0.25">
      <c r="A44" s="66">
        <v>43746</v>
      </c>
      <c r="B44">
        <v>135.66999799999999</v>
      </c>
      <c r="C44">
        <v>224.39999399999999</v>
      </c>
      <c r="D44">
        <v>1189.130005</v>
      </c>
      <c r="E44">
        <v>1705.51001</v>
      </c>
      <c r="F44">
        <v>138.38000500000001</v>
      </c>
    </row>
    <row r="45" spans="1:6" x14ac:dyDescent="0.25">
      <c r="A45" s="66">
        <v>43747</v>
      </c>
      <c r="B45">
        <v>138.240005</v>
      </c>
      <c r="C45">
        <v>227.029999</v>
      </c>
      <c r="D45">
        <v>1202.3100589999999</v>
      </c>
      <c r="E45">
        <v>1721.98999</v>
      </c>
      <c r="F45">
        <v>139.66999799999999</v>
      </c>
    </row>
    <row r="46" spans="1:6" x14ac:dyDescent="0.25">
      <c r="A46" s="66">
        <v>43748</v>
      </c>
      <c r="B46">
        <v>139.10000600000001</v>
      </c>
      <c r="C46">
        <v>230.08999600000001</v>
      </c>
      <c r="D46">
        <v>1208.670044</v>
      </c>
      <c r="E46">
        <v>1720.26001</v>
      </c>
      <c r="F46">
        <v>141.13000500000001</v>
      </c>
    </row>
    <row r="47" spans="1:6" x14ac:dyDescent="0.25">
      <c r="A47" s="66">
        <v>43749</v>
      </c>
      <c r="B47">
        <v>139.679993</v>
      </c>
      <c r="C47">
        <v>236.21000699999999</v>
      </c>
      <c r="D47">
        <v>1215.4499510000001</v>
      </c>
      <c r="E47">
        <v>1731.920044</v>
      </c>
      <c r="F47">
        <v>142.759995</v>
      </c>
    </row>
    <row r="48" spans="1:6" x14ac:dyDescent="0.25">
      <c r="A48" s="66">
        <v>43752</v>
      </c>
      <c r="B48">
        <v>139.550003</v>
      </c>
      <c r="C48">
        <v>235.86999499999999</v>
      </c>
      <c r="D48">
        <v>1217.1400149999999</v>
      </c>
      <c r="E48">
        <v>1736.4300539999999</v>
      </c>
      <c r="F48">
        <v>142.03999300000001</v>
      </c>
    </row>
    <row r="49" spans="1:6" x14ac:dyDescent="0.25">
      <c r="A49" s="66">
        <v>43753</v>
      </c>
      <c r="B49">
        <v>141.570007</v>
      </c>
      <c r="C49">
        <v>235.320007</v>
      </c>
      <c r="D49">
        <v>1243.01001</v>
      </c>
      <c r="E49">
        <v>1767.380005</v>
      </c>
      <c r="F49">
        <v>143</v>
      </c>
    </row>
    <row r="50" spans="1:6" x14ac:dyDescent="0.25">
      <c r="A50" s="66">
        <v>43754</v>
      </c>
      <c r="B50">
        <v>140.41000399999999</v>
      </c>
      <c r="C50">
        <v>234.36999499999999</v>
      </c>
      <c r="D50">
        <v>1243.6400149999999</v>
      </c>
      <c r="E50">
        <v>1777.4300539999999</v>
      </c>
      <c r="F50">
        <v>142.11000100000001</v>
      </c>
    </row>
    <row r="51" spans="1:6" x14ac:dyDescent="0.25">
      <c r="A51" s="66">
        <v>43755</v>
      </c>
      <c r="B51">
        <v>139.69000199999999</v>
      </c>
      <c r="C51">
        <v>235.279999</v>
      </c>
      <c r="D51">
        <v>1253.0699460000001</v>
      </c>
      <c r="E51">
        <v>1787.4799800000001</v>
      </c>
      <c r="F51">
        <v>134.259995</v>
      </c>
    </row>
    <row r="52" spans="1:6" x14ac:dyDescent="0.25">
      <c r="A52" s="66">
        <v>43756</v>
      </c>
      <c r="B52">
        <v>137.41000399999999</v>
      </c>
      <c r="C52">
        <v>236.41000399999999</v>
      </c>
      <c r="D52">
        <v>1245.48999</v>
      </c>
      <c r="E52">
        <v>1757.51001</v>
      </c>
      <c r="F52">
        <v>134.08999600000001</v>
      </c>
    </row>
    <row r="53" spans="1:6" x14ac:dyDescent="0.25">
      <c r="A53" s="66">
        <v>43759</v>
      </c>
      <c r="B53">
        <v>138.429993</v>
      </c>
      <c r="C53">
        <v>240.509995</v>
      </c>
      <c r="D53">
        <v>1246.150024</v>
      </c>
      <c r="E53">
        <v>1785.660034</v>
      </c>
      <c r="F53">
        <v>132.58000200000001</v>
      </c>
    </row>
    <row r="54" spans="1:6" x14ac:dyDescent="0.25">
      <c r="A54" s="66">
        <v>43760</v>
      </c>
      <c r="B54">
        <v>136.36999499999999</v>
      </c>
      <c r="C54">
        <v>239.96000699999999</v>
      </c>
      <c r="D54">
        <v>1242.8000489999999</v>
      </c>
      <c r="E54">
        <v>1765.7299800000001</v>
      </c>
      <c r="F54">
        <v>133.96000699999999</v>
      </c>
    </row>
    <row r="55" spans="1:6" x14ac:dyDescent="0.25">
      <c r="A55" s="66">
        <v>43761</v>
      </c>
      <c r="B55">
        <v>137.240005</v>
      </c>
      <c r="C55">
        <v>243.179993</v>
      </c>
      <c r="D55">
        <v>1259.130005</v>
      </c>
      <c r="E55">
        <v>1762.170044</v>
      </c>
      <c r="F55">
        <v>134.38000500000001</v>
      </c>
    </row>
    <row r="56" spans="1:6" x14ac:dyDescent="0.25">
      <c r="A56" s="66">
        <v>43762</v>
      </c>
      <c r="B56">
        <v>139.94000199999999</v>
      </c>
      <c r="C56">
        <v>243.58000200000001</v>
      </c>
      <c r="D56">
        <v>1260.98999</v>
      </c>
      <c r="E56">
        <v>1780.780029</v>
      </c>
      <c r="F56">
        <v>134.070007</v>
      </c>
    </row>
    <row r="57" spans="1:6" x14ac:dyDescent="0.25">
      <c r="A57" s="66">
        <v>43763</v>
      </c>
      <c r="B57">
        <v>140.729996</v>
      </c>
      <c r="C57">
        <v>246.58000200000001</v>
      </c>
      <c r="D57">
        <v>1265.130005</v>
      </c>
      <c r="E57">
        <v>1761.329956</v>
      </c>
      <c r="F57">
        <v>135.44000199999999</v>
      </c>
    </row>
    <row r="58" spans="1:6" x14ac:dyDescent="0.25">
      <c r="A58" s="66">
        <v>43766</v>
      </c>
      <c r="B58">
        <v>144.19000199999999</v>
      </c>
      <c r="C58">
        <v>249.050003</v>
      </c>
      <c r="D58">
        <v>1290</v>
      </c>
      <c r="E58">
        <v>1777.079956</v>
      </c>
      <c r="F58">
        <v>135.970001</v>
      </c>
    </row>
    <row r="59" spans="1:6" x14ac:dyDescent="0.25">
      <c r="A59" s="66">
        <v>43767</v>
      </c>
      <c r="B59">
        <v>142.83000200000001</v>
      </c>
      <c r="C59">
        <v>243.28999300000001</v>
      </c>
      <c r="D59">
        <v>1262.619995</v>
      </c>
      <c r="E59">
        <v>1762.709961</v>
      </c>
      <c r="F59">
        <v>133.820007</v>
      </c>
    </row>
    <row r="60" spans="1:6" x14ac:dyDescent="0.25">
      <c r="A60" s="66">
        <v>43768</v>
      </c>
      <c r="B60">
        <v>144.61000100000001</v>
      </c>
      <c r="C60">
        <v>243.259995</v>
      </c>
      <c r="D60">
        <v>1261.290039</v>
      </c>
      <c r="E60">
        <v>1779.98999</v>
      </c>
      <c r="F60">
        <v>135.25</v>
      </c>
    </row>
    <row r="61" spans="1:6" x14ac:dyDescent="0.25">
      <c r="A61" s="66">
        <v>43769</v>
      </c>
      <c r="B61">
        <v>143.36999499999999</v>
      </c>
      <c r="C61">
        <v>248.759995</v>
      </c>
      <c r="D61">
        <v>1260.1099850000001</v>
      </c>
      <c r="E61">
        <v>1776.660034</v>
      </c>
      <c r="F61">
        <v>133.729996</v>
      </c>
    </row>
    <row r="62" spans="1:6" x14ac:dyDescent="0.25">
      <c r="A62" s="66">
        <v>43770</v>
      </c>
      <c r="B62">
        <v>143.720001</v>
      </c>
      <c r="C62">
        <v>255.820007</v>
      </c>
      <c r="D62">
        <v>1273.73999</v>
      </c>
      <c r="E62">
        <v>1791.4399410000001</v>
      </c>
      <c r="F62">
        <v>135.529999</v>
      </c>
    </row>
    <row r="63" spans="1:6" x14ac:dyDescent="0.25">
      <c r="A63" s="66">
        <v>43773</v>
      </c>
      <c r="B63">
        <v>144.550003</v>
      </c>
      <c r="C63">
        <v>257.5</v>
      </c>
      <c r="D63">
        <v>1291.369995</v>
      </c>
      <c r="E63">
        <v>1804.660034</v>
      </c>
      <c r="F63">
        <v>137.66999799999999</v>
      </c>
    </row>
    <row r="64" spans="1:6" x14ac:dyDescent="0.25">
      <c r="A64" s="66">
        <v>43774</v>
      </c>
      <c r="B64">
        <v>144.46000699999999</v>
      </c>
      <c r="C64">
        <v>257.13000499999998</v>
      </c>
      <c r="D64">
        <v>1292.030029</v>
      </c>
      <c r="E64">
        <v>1801.709961</v>
      </c>
      <c r="F64">
        <v>137.88999899999999</v>
      </c>
    </row>
    <row r="65" spans="1:6" x14ac:dyDescent="0.25">
      <c r="A65" s="66">
        <v>43775</v>
      </c>
      <c r="B65">
        <v>144.05999800000001</v>
      </c>
      <c r="C65">
        <v>257.23998999999998</v>
      </c>
      <c r="D65">
        <v>1291.8000489999999</v>
      </c>
      <c r="E65">
        <v>1795.7700199999999</v>
      </c>
      <c r="F65">
        <v>138.779999</v>
      </c>
    </row>
    <row r="66" spans="1:6" x14ac:dyDescent="0.25">
      <c r="A66" s="66">
        <v>43776</v>
      </c>
      <c r="B66">
        <v>144.259995</v>
      </c>
      <c r="C66">
        <v>259.42999300000002</v>
      </c>
      <c r="D66">
        <v>1308.8599850000001</v>
      </c>
      <c r="E66">
        <v>1788.1999510000001</v>
      </c>
      <c r="F66">
        <v>137.69000199999999</v>
      </c>
    </row>
    <row r="67" spans="1:6" x14ac:dyDescent="0.25">
      <c r="A67" s="66">
        <v>43777</v>
      </c>
      <c r="B67">
        <v>145.96000699999999</v>
      </c>
      <c r="C67">
        <v>260.14001500000001</v>
      </c>
      <c r="D67">
        <v>1311.369995</v>
      </c>
      <c r="E67">
        <v>1785.880005</v>
      </c>
      <c r="F67">
        <v>137.61000100000001</v>
      </c>
    </row>
    <row r="68" spans="1:6" x14ac:dyDescent="0.25">
      <c r="A68" s="66">
        <v>43780</v>
      </c>
      <c r="B68">
        <v>146.11000100000001</v>
      </c>
      <c r="C68">
        <v>262.20001200000002</v>
      </c>
      <c r="D68">
        <v>1299.1899410000001</v>
      </c>
      <c r="E68">
        <v>1771.650024</v>
      </c>
      <c r="F68">
        <v>135.470001</v>
      </c>
    </row>
    <row r="69" spans="1:6" x14ac:dyDescent="0.25">
      <c r="A69" s="66">
        <v>43781</v>
      </c>
      <c r="B69">
        <v>147.070007</v>
      </c>
      <c r="C69">
        <v>261.959991</v>
      </c>
      <c r="D69">
        <v>1298.8000489999999</v>
      </c>
      <c r="E69">
        <v>1778</v>
      </c>
      <c r="F69">
        <v>135.58999600000001</v>
      </c>
    </row>
    <row r="70" spans="1:6" x14ac:dyDescent="0.25">
      <c r="A70" s="66">
        <v>43782</v>
      </c>
      <c r="B70">
        <v>147.30999800000001</v>
      </c>
      <c r="C70">
        <v>264.47000100000002</v>
      </c>
      <c r="D70">
        <v>1298</v>
      </c>
      <c r="E70">
        <v>1753.1099850000001</v>
      </c>
      <c r="F70">
        <v>134.479996</v>
      </c>
    </row>
    <row r="71" spans="1:6" x14ac:dyDescent="0.25">
      <c r="A71" s="66">
        <v>43783</v>
      </c>
      <c r="B71">
        <v>148.05999800000001</v>
      </c>
      <c r="C71">
        <v>262.64001500000001</v>
      </c>
      <c r="D71">
        <v>1311.459961</v>
      </c>
      <c r="E71">
        <v>1754.599976</v>
      </c>
      <c r="F71">
        <v>134</v>
      </c>
    </row>
    <row r="72" spans="1:6" x14ac:dyDescent="0.25">
      <c r="A72" s="66">
        <v>43784</v>
      </c>
      <c r="B72">
        <v>149.970001</v>
      </c>
      <c r="C72">
        <v>265.76001000000002</v>
      </c>
      <c r="D72">
        <v>1334.869995</v>
      </c>
      <c r="E72">
        <v>1739.48999</v>
      </c>
      <c r="F72">
        <v>134.39999399999999</v>
      </c>
    </row>
    <row r="73" spans="1:6" x14ac:dyDescent="0.25">
      <c r="A73" s="66">
        <v>43787</v>
      </c>
      <c r="B73">
        <v>150.33999600000001</v>
      </c>
      <c r="C73">
        <v>267.10000600000001</v>
      </c>
      <c r="D73">
        <v>1320.6999510000001</v>
      </c>
      <c r="E73">
        <v>1752.530029</v>
      </c>
      <c r="F73">
        <v>134.30999800000001</v>
      </c>
    </row>
    <row r="74" spans="1:6" x14ac:dyDescent="0.25">
      <c r="A74" s="66">
        <v>43788</v>
      </c>
      <c r="B74">
        <v>150.38999899999999</v>
      </c>
      <c r="C74">
        <v>266.290009</v>
      </c>
      <c r="D74">
        <v>1315.459961</v>
      </c>
      <c r="E74">
        <v>1752.790039</v>
      </c>
      <c r="F74">
        <v>134.520004</v>
      </c>
    </row>
    <row r="75" spans="1:6" x14ac:dyDescent="0.25">
      <c r="A75" s="66">
        <v>43789</v>
      </c>
      <c r="B75">
        <v>149.61999499999999</v>
      </c>
      <c r="C75">
        <v>263.19000199999999</v>
      </c>
      <c r="D75">
        <v>1303.0500489999999</v>
      </c>
      <c r="E75">
        <v>1745.530029</v>
      </c>
      <c r="F75">
        <v>133.199997</v>
      </c>
    </row>
    <row r="76" spans="1:6" x14ac:dyDescent="0.25">
      <c r="A76" s="66">
        <v>43790</v>
      </c>
      <c r="B76">
        <v>149.479996</v>
      </c>
      <c r="C76">
        <v>262.01001000000002</v>
      </c>
      <c r="D76">
        <v>1301.349976</v>
      </c>
      <c r="E76">
        <v>1734.709961</v>
      </c>
      <c r="F76">
        <v>133.83999600000001</v>
      </c>
    </row>
    <row r="77" spans="1:6" x14ac:dyDescent="0.25">
      <c r="A77" s="66">
        <v>43791</v>
      </c>
      <c r="B77">
        <v>149.58999600000001</v>
      </c>
      <c r="C77">
        <v>261.77999899999998</v>
      </c>
      <c r="D77">
        <v>1295.339966</v>
      </c>
      <c r="E77">
        <v>1745.719971</v>
      </c>
      <c r="F77">
        <v>134.33999600000001</v>
      </c>
    </row>
    <row r="78" spans="1:6" x14ac:dyDescent="0.25">
      <c r="A78" s="66">
        <v>43794</v>
      </c>
      <c r="B78">
        <v>151.229996</v>
      </c>
      <c r="C78">
        <v>266.36999500000002</v>
      </c>
      <c r="D78">
        <v>1306.6899410000001</v>
      </c>
      <c r="E78">
        <v>1773.839966</v>
      </c>
      <c r="F78">
        <v>135.970001</v>
      </c>
    </row>
    <row r="79" spans="1:6" x14ac:dyDescent="0.25">
      <c r="A79" s="66">
        <v>43795</v>
      </c>
      <c r="B79">
        <v>152.029999</v>
      </c>
      <c r="C79">
        <v>264.290009</v>
      </c>
      <c r="D79">
        <v>1313.5500489999999</v>
      </c>
      <c r="E79">
        <v>1796.9399410000001</v>
      </c>
      <c r="F79">
        <v>135.08999600000001</v>
      </c>
    </row>
    <row r="80" spans="1:6" x14ac:dyDescent="0.25">
      <c r="A80" s="66">
        <v>43796</v>
      </c>
      <c r="B80">
        <v>152.320007</v>
      </c>
      <c r="C80">
        <v>267.83999599999999</v>
      </c>
      <c r="D80">
        <v>1312.98999</v>
      </c>
      <c r="E80">
        <v>1818.51001</v>
      </c>
      <c r="F80">
        <v>133.770004</v>
      </c>
    </row>
    <row r="81" spans="1:6" x14ac:dyDescent="0.25">
      <c r="A81" s="66">
        <v>43798</v>
      </c>
      <c r="B81">
        <v>151.38000500000001</v>
      </c>
      <c r="C81">
        <v>267.25</v>
      </c>
      <c r="D81">
        <v>1304.959961</v>
      </c>
      <c r="E81">
        <v>1800.8000489999999</v>
      </c>
      <c r="F81">
        <v>134.449997</v>
      </c>
    </row>
    <row r="82" spans="1:6" x14ac:dyDescent="0.25">
      <c r="A82" s="66">
        <v>43801</v>
      </c>
      <c r="B82">
        <v>149.550003</v>
      </c>
      <c r="C82">
        <v>264.16000400000001</v>
      </c>
      <c r="D82">
        <v>1289.920044</v>
      </c>
      <c r="E82">
        <v>1781.599976</v>
      </c>
      <c r="F82">
        <v>132.91000399999999</v>
      </c>
    </row>
    <row r="83" spans="1:6" x14ac:dyDescent="0.25">
      <c r="A83" s="66">
        <v>43802</v>
      </c>
      <c r="B83">
        <v>149.30999800000001</v>
      </c>
      <c r="C83">
        <v>259.45001200000002</v>
      </c>
      <c r="D83">
        <v>1295.280029</v>
      </c>
      <c r="E83">
        <v>1769.959961</v>
      </c>
      <c r="F83">
        <v>132.11999499999999</v>
      </c>
    </row>
    <row r="84" spans="1:6" x14ac:dyDescent="0.25">
      <c r="A84" s="66">
        <v>43803</v>
      </c>
      <c r="B84">
        <v>149.85000600000001</v>
      </c>
      <c r="C84">
        <v>261.73998999999998</v>
      </c>
      <c r="D84">
        <v>1320.540039</v>
      </c>
      <c r="E84">
        <v>1760.6899410000001</v>
      </c>
      <c r="F84">
        <v>131.990005</v>
      </c>
    </row>
    <row r="85" spans="1:6" x14ac:dyDescent="0.25">
      <c r="A85" s="66">
        <v>43804</v>
      </c>
      <c r="B85">
        <v>149.929993</v>
      </c>
      <c r="C85">
        <v>265.57998700000002</v>
      </c>
      <c r="D85">
        <v>1328.130005</v>
      </c>
      <c r="E85">
        <v>1740.4799800000001</v>
      </c>
      <c r="F85">
        <v>131.91000399999999</v>
      </c>
    </row>
    <row r="86" spans="1:6" x14ac:dyDescent="0.25">
      <c r="A86" s="66">
        <v>43805</v>
      </c>
      <c r="B86">
        <v>151.75</v>
      </c>
      <c r="C86">
        <v>270.709991</v>
      </c>
      <c r="D86">
        <v>1340.619995</v>
      </c>
      <c r="E86">
        <v>1751.599976</v>
      </c>
      <c r="F86">
        <v>133.220001</v>
      </c>
    </row>
    <row r="87" spans="1:6" x14ac:dyDescent="0.25">
      <c r="A87" s="66">
        <v>43808</v>
      </c>
      <c r="B87">
        <v>151.36000100000001</v>
      </c>
      <c r="C87">
        <v>266.92001299999998</v>
      </c>
      <c r="D87">
        <v>1343.5600589999999</v>
      </c>
      <c r="E87">
        <v>1749.51001</v>
      </c>
      <c r="F87">
        <v>133.91999799999999</v>
      </c>
    </row>
    <row r="88" spans="1:6" x14ac:dyDescent="0.25">
      <c r="A88" s="66">
        <v>43809</v>
      </c>
      <c r="B88">
        <v>151.13000500000001</v>
      </c>
      <c r="C88">
        <v>268.48001099999999</v>
      </c>
      <c r="D88">
        <v>1344.660034</v>
      </c>
      <c r="E88">
        <v>1739.209961</v>
      </c>
      <c r="F88">
        <v>133.91000399999999</v>
      </c>
    </row>
    <row r="89" spans="1:6" x14ac:dyDescent="0.25">
      <c r="A89" s="66">
        <v>43810</v>
      </c>
      <c r="B89">
        <v>151.699997</v>
      </c>
      <c r="C89">
        <v>270.76998900000001</v>
      </c>
      <c r="D89">
        <v>1345.0200199999999</v>
      </c>
      <c r="E89">
        <v>1748.719971</v>
      </c>
      <c r="F89">
        <v>133.759995</v>
      </c>
    </row>
    <row r="90" spans="1:6" x14ac:dyDescent="0.25">
      <c r="A90" s="66">
        <v>43811</v>
      </c>
      <c r="B90">
        <v>153.240005</v>
      </c>
      <c r="C90">
        <v>271.459991</v>
      </c>
      <c r="D90">
        <v>1350.2700199999999</v>
      </c>
      <c r="E90">
        <v>1760.329956</v>
      </c>
      <c r="F90">
        <v>135.320007</v>
      </c>
    </row>
    <row r="91" spans="1:6" x14ac:dyDescent="0.25">
      <c r="A91" s="66">
        <v>43812</v>
      </c>
      <c r="B91">
        <v>154.529999</v>
      </c>
      <c r="C91">
        <v>275.14999399999999</v>
      </c>
      <c r="D91">
        <v>1347.829956</v>
      </c>
      <c r="E91">
        <v>1760.9399410000001</v>
      </c>
      <c r="F91">
        <v>134.21000699999999</v>
      </c>
    </row>
    <row r="92" spans="1:6" x14ac:dyDescent="0.25">
      <c r="A92" s="66">
        <v>43815</v>
      </c>
      <c r="B92">
        <v>155.529999</v>
      </c>
      <c r="C92">
        <v>279.85998499999999</v>
      </c>
      <c r="D92">
        <v>1361.170044</v>
      </c>
      <c r="E92">
        <v>1769.209961</v>
      </c>
      <c r="F92">
        <v>134.13000500000001</v>
      </c>
    </row>
    <row r="93" spans="1:6" x14ac:dyDescent="0.25">
      <c r="A93" s="66">
        <v>43816</v>
      </c>
      <c r="B93">
        <v>154.69000199999999</v>
      </c>
      <c r="C93">
        <v>280.41000400000001</v>
      </c>
      <c r="D93">
        <v>1355.119995</v>
      </c>
      <c r="E93">
        <v>1790.660034</v>
      </c>
      <c r="F93">
        <v>134.220001</v>
      </c>
    </row>
    <row r="94" spans="1:6" x14ac:dyDescent="0.25">
      <c r="A94" s="66">
        <v>43817</v>
      </c>
      <c r="B94">
        <v>154.36999499999999</v>
      </c>
      <c r="C94">
        <v>279.73998999999998</v>
      </c>
      <c r="D94">
        <v>1352.619995</v>
      </c>
      <c r="E94">
        <v>1784.030029</v>
      </c>
      <c r="F94">
        <v>134.41000399999999</v>
      </c>
    </row>
    <row r="95" spans="1:6" x14ac:dyDescent="0.25">
      <c r="A95" s="66">
        <v>43818</v>
      </c>
      <c r="B95">
        <v>155.71000699999999</v>
      </c>
      <c r="C95">
        <v>280.01998900000001</v>
      </c>
      <c r="D95">
        <v>1356.040039</v>
      </c>
      <c r="E95">
        <v>1792.280029</v>
      </c>
      <c r="F95">
        <v>134.55999800000001</v>
      </c>
    </row>
    <row r="96" spans="1:6" x14ac:dyDescent="0.25">
      <c r="A96" s="66">
        <v>43819</v>
      </c>
      <c r="B96">
        <v>157.41000399999999</v>
      </c>
      <c r="C96">
        <v>279.44000199999999</v>
      </c>
      <c r="D96">
        <v>1349.589966</v>
      </c>
      <c r="E96">
        <v>1786.5</v>
      </c>
      <c r="F96">
        <v>135.58999600000001</v>
      </c>
    </row>
    <row r="97" spans="1:6" x14ac:dyDescent="0.25">
      <c r="A97" s="66">
        <v>43822</v>
      </c>
      <c r="B97">
        <v>157.41000399999999</v>
      </c>
      <c r="C97">
        <v>284</v>
      </c>
      <c r="D97">
        <v>1348.839966</v>
      </c>
      <c r="E97">
        <v>1793</v>
      </c>
      <c r="F97">
        <v>135.550003</v>
      </c>
    </row>
    <row r="98" spans="1:6" x14ac:dyDescent="0.25">
      <c r="A98" s="66">
        <v>43823</v>
      </c>
      <c r="B98">
        <v>157.38000500000001</v>
      </c>
      <c r="C98">
        <v>284.26998900000001</v>
      </c>
      <c r="D98">
        <v>1343.5600589999999</v>
      </c>
      <c r="E98">
        <v>1789.209961</v>
      </c>
      <c r="F98">
        <v>134.979996</v>
      </c>
    </row>
    <row r="99" spans="1:6" x14ac:dyDescent="0.25">
      <c r="A99" s="66">
        <v>43825</v>
      </c>
      <c r="B99">
        <v>158.66999799999999</v>
      </c>
      <c r="C99">
        <v>289.91000400000001</v>
      </c>
      <c r="D99">
        <v>1360.400024</v>
      </c>
      <c r="E99">
        <v>1868.7700199999999</v>
      </c>
      <c r="F99">
        <v>134.91000399999999</v>
      </c>
    </row>
    <row r="100" spans="1:6" x14ac:dyDescent="0.25">
      <c r="A100" s="66">
        <v>43826</v>
      </c>
      <c r="B100">
        <v>158.96000699999999</v>
      </c>
      <c r="C100">
        <v>289.79998799999998</v>
      </c>
      <c r="D100">
        <v>1351.8900149999999</v>
      </c>
      <c r="E100">
        <v>1869.8000489999999</v>
      </c>
      <c r="F100">
        <v>135.270004</v>
      </c>
    </row>
    <row r="101" spans="1:6" x14ac:dyDescent="0.25">
      <c r="A101" s="66">
        <v>43829</v>
      </c>
      <c r="B101">
        <v>157.58999600000001</v>
      </c>
      <c r="C101">
        <v>291.51998900000001</v>
      </c>
      <c r="D101">
        <v>1336.1400149999999</v>
      </c>
      <c r="E101">
        <v>1846.8900149999999</v>
      </c>
      <c r="F101">
        <v>132.80999800000001</v>
      </c>
    </row>
    <row r="102" spans="1:6" x14ac:dyDescent="0.25">
      <c r="A102" s="66">
        <v>43830</v>
      </c>
      <c r="B102">
        <v>157.699997</v>
      </c>
      <c r="C102">
        <v>293.64999399999999</v>
      </c>
      <c r="D102">
        <v>1337.0200199999999</v>
      </c>
      <c r="E102">
        <v>1847.839966</v>
      </c>
      <c r="F102">
        <v>134.03999300000001</v>
      </c>
    </row>
    <row r="103" spans="1:6" x14ac:dyDescent="0.25">
      <c r="A103" s="66">
        <v>43832</v>
      </c>
      <c r="B103">
        <v>160.61999499999999</v>
      </c>
      <c r="C103">
        <v>300.35000600000001</v>
      </c>
      <c r="D103">
        <v>1367.369995</v>
      </c>
      <c r="E103">
        <v>1898.01001</v>
      </c>
      <c r="F103">
        <v>135.41999799999999</v>
      </c>
    </row>
    <row r="104" spans="1:6" x14ac:dyDescent="0.25">
      <c r="A104" s="66">
        <v>43833</v>
      </c>
      <c r="B104">
        <v>158.61999499999999</v>
      </c>
      <c r="C104">
        <v>297.42999300000002</v>
      </c>
      <c r="D104">
        <v>1360.660034</v>
      </c>
      <c r="E104">
        <v>1874.969971</v>
      </c>
      <c r="F104">
        <v>134.33999600000001</v>
      </c>
    </row>
    <row r="105" spans="1:6" x14ac:dyDescent="0.25">
      <c r="A105" s="66">
        <v>43836</v>
      </c>
      <c r="B105">
        <v>159.029999</v>
      </c>
      <c r="C105">
        <v>299.79998799999998</v>
      </c>
      <c r="D105">
        <v>1394.209961</v>
      </c>
      <c r="E105">
        <v>1902.880005</v>
      </c>
      <c r="F105">
        <v>134.10000600000001</v>
      </c>
    </row>
    <row r="106" spans="1:6" x14ac:dyDescent="0.25">
      <c r="A106" s="66">
        <v>43837</v>
      </c>
      <c r="B106">
        <v>157.58000200000001</v>
      </c>
      <c r="C106">
        <v>298.39001500000001</v>
      </c>
      <c r="D106">
        <v>1393.339966</v>
      </c>
      <c r="E106">
        <v>1906.8599850000001</v>
      </c>
      <c r="F106">
        <v>134.19000199999999</v>
      </c>
    </row>
    <row r="107" spans="1:6" x14ac:dyDescent="0.25">
      <c r="A107" s="66">
        <v>43838</v>
      </c>
      <c r="B107">
        <v>160.08999600000001</v>
      </c>
      <c r="C107">
        <v>303.19000199999999</v>
      </c>
      <c r="D107">
        <v>1404.3199460000001</v>
      </c>
      <c r="E107">
        <v>1891.969971</v>
      </c>
      <c r="F107">
        <v>135.30999800000001</v>
      </c>
    </row>
    <row r="108" spans="1:6" x14ac:dyDescent="0.25">
      <c r="A108" s="66">
        <v>43839</v>
      </c>
      <c r="B108">
        <v>162.08999600000001</v>
      </c>
      <c r="C108">
        <v>309.63000499999998</v>
      </c>
      <c r="D108">
        <v>1419.829956</v>
      </c>
      <c r="E108">
        <v>1901.0500489999999</v>
      </c>
      <c r="F108">
        <v>136.740005</v>
      </c>
    </row>
    <row r="109" spans="1:6" x14ac:dyDescent="0.25">
      <c r="A109" s="66">
        <v>43840</v>
      </c>
      <c r="B109">
        <v>161.33999600000001</v>
      </c>
      <c r="C109">
        <v>310.32998700000002</v>
      </c>
      <c r="D109">
        <v>1429.7299800000001</v>
      </c>
      <c r="E109">
        <v>1883.160034</v>
      </c>
      <c r="F109">
        <v>136.69000199999999</v>
      </c>
    </row>
    <row r="110" spans="1:6" x14ac:dyDescent="0.25">
      <c r="A110" s="66">
        <v>43843</v>
      </c>
      <c r="B110">
        <v>163.279999</v>
      </c>
      <c r="C110">
        <v>316.959991</v>
      </c>
      <c r="D110">
        <v>1439.2299800000001</v>
      </c>
      <c r="E110">
        <v>1891.3000489999999</v>
      </c>
      <c r="F110">
        <v>136.60000600000001</v>
      </c>
    </row>
    <row r="111" spans="1:6" x14ac:dyDescent="0.25">
      <c r="A111" s="66">
        <v>43844</v>
      </c>
      <c r="B111">
        <v>162.13000500000001</v>
      </c>
      <c r="C111">
        <v>312.67999300000002</v>
      </c>
      <c r="D111">
        <v>1430.880005</v>
      </c>
      <c r="E111">
        <v>1869.4399410000001</v>
      </c>
      <c r="F111">
        <v>135.820007</v>
      </c>
    </row>
    <row r="112" spans="1:6" x14ac:dyDescent="0.25">
      <c r="A112" s="66">
        <v>43845</v>
      </c>
      <c r="B112">
        <v>163.179993</v>
      </c>
      <c r="C112">
        <v>311.33999599999999</v>
      </c>
      <c r="D112">
        <v>1439.1999510000001</v>
      </c>
      <c r="E112">
        <v>1862.0200199999999</v>
      </c>
      <c r="F112">
        <v>136.61999499999999</v>
      </c>
    </row>
    <row r="113" spans="1:6" x14ac:dyDescent="0.25">
      <c r="A113" s="66">
        <v>43846</v>
      </c>
      <c r="B113">
        <v>166.16999799999999</v>
      </c>
      <c r="C113">
        <v>315.23998999999998</v>
      </c>
      <c r="D113">
        <v>1451.6999510000001</v>
      </c>
      <c r="E113">
        <v>1877.9399410000001</v>
      </c>
      <c r="F113">
        <v>137.979996</v>
      </c>
    </row>
    <row r="114" spans="1:6" x14ac:dyDescent="0.25">
      <c r="A114" s="66">
        <v>43847</v>
      </c>
      <c r="B114">
        <v>167.10000600000001</v>
      </c>
      <c r="C114">
        <v>318.73001099999999</v>
      </c>
      <c r="D114">
        <v>1480.3900149999999</v>
      </c>
      <c r="E114">
        <v>1864.719971</v>
      </c>
      <c r="F114">
        <v>138.30999800000001</v>
      </c>
    </row>
    <row r="115" spans="1:6" x14ac:dyDescent="0.25">
      <c r="A115" s="66">
        <v>43851</v>
      </c>
      <c r="B115">
        <v>166.5</v>
      </c>
      <c r="C115">
        <v>316.57000699999998</v>
      </c>
      <c r="D115">
        <v>1484.400024</v>
      </c>
      <c r="E115">
        <v>1892</v>
      </c>
      <c r="F115">
        <v>139.16999799999999</v>
      </c>
    </row>
    <row r="116" spans="1:6" x14ac:dyDescent="0.25">
      <c r="A116" s="66">
        <v>43852</v>
      </c>
      <c r="B116">
        <v>165.699997</v>
      </c>
      <c r="C116">
        <v>317.70001200000002</v>
      </c>
      <c r="D116">
        <v>1485.9499510000001</v>
      </c>
      <c r="E116">
        <v>1887.459961</v>
      </c>
      <c r="F116">
        <v>143.88999899999999</v>
      </c>
    </row>
    <row r="117" spans="1:6" x14ac:dyDescent="0.25">
      <c r="A117" s="66">
        <v>43853</v>
      </c>
      <c r="B117">
        <v>166.720001</v>
      </c>
      <c r="C117">
        <v>319.23001099999999</v>
      </c>
      <c r="D117">
        <v>1486.650024</v>
      </c>
      <c r="E117">
        <v>1884.579956</v>
      </c>
      <c r="F117">
        <v>142.86999499999999</v>
      </c>
    </row>
    <row r="118" spans="1:6" x14ac:dyDescent="0.25">
      <c r="A118" s="66">
        <v>43854</v>
      </c>
      <c r="B118">
        <v>165.03999300000001</v>
      </c>
      <c r="C118">
        <v>318.30999800000001</v>
      </c>
      <c r="D118">
        <v>1466.709961</v>
      </c>
      <c r="E118">
        <v>1861.6400149999999</v>
      </c>
      <c r="F118">
        <v>140.55999800000001</v>
      </c>
    </row>
    <row r="119" spans="1:6" x14ac:dyDescent="0.25">
      <c r="A119" s="66">
        <v>43857</v>
      </c>
      <c r="B119">
        <v>162.279999</v>
      </c>
      <c r="C119">
        <v>308.95001200000002</v>
      </c>
      <c r="D119">
        <v>1433.900024</v>
      </c>
      <c r="E119">
        <v>1828.339966</v>
      </c>
      <c r="F119">
        <v>138.61999499999999</v>
      </c>
    </row>
    <row r="120" spans="1:6" x14ac:dyDescent="0.25">
      <c r="A120" s="66">
        <v>43858</v>
      </c>
      <c r="B120">
        <v>165.46000699999999</v>
      </c>
      <c r="C120">
        <v>317.69000199999999</v>
      </c>
      <c r="D120">
        <v>1452.5600589999999</v>
      </c>
      <c r="E120">
        <v>1853.25</v>
      </c>
      <c r="F120">
        <v>139.550003</v>
      </c>
    </row>
    <row r="121" spans="1:6" x14ac:dyDescent="0.25">
      <c r="A121" s="66">
        <v>43859</v>
      </c>
      <c r="B121">
        <v>168.03999300000001</v>
      </c>
      <c r="C121">
        <v>324.33999599999999</v>
      </c>
      <c r="D121">
        <v>1458.630005</v>
      </c>
      <c r="E121">
        <v>1858</v>
      </c>
      <c r="F121">
        <v>137.69000199999999</v>
      </c>
    </row>
    <row r="122" spans="1:6" x14ac:dyDescent="0.25">
      <c r="A122" s="66">
        <v>43860</v>
      </c>
      <c r="B122">
        <v>172.779999</v>
      </c>
      <c r="C122">
        <v>323.86999500000002</v>
      </c>
      <c r="D122">
        <v>1455.839966</v>
      </c>
      <c r="E122">
        <v>1870.6800539999999</v>
      </c>
      <c r="F122">
        <v>136.770004</v>
      </c>
    </row>
    <row r="123" spans="1:6" x14ac:dyDescent="0.25">
      <c r="A123" s="66">
        <v>43861</v>
      </c>
      <c r="B123">
        <v>170.229996</v>
      </c>
      <c r="C123">
        <v>309.51001000000002</v>
      </c>
      <c r="D123">
        <v>1434.2299800000001</v>
      </c>
      <c r="E123">
        <v>2008.719971</v>
      </c>
      <c r="F123">
        <v>143.729996</v>
      </c>
    </row>
    <row r="124" spans="1:6" x14ac:dyDescent="0.25">
      <c r="A124" s="66">
        <v>43864</v>
      </c>
      <c r="B124">
        <v>174.38000500000001</v>
      </c>
      <c r="C124">
        <v>308.66000400000001</v>
      </c>
      <c r="D124">
        <v>1485.9399410000001</v>
      </c>
      <c r="E124">
        <v>2004.1999510000001</v>
      </c>
      <c r="F124">
        <v>146.270004</v>
      </c>
    </row>
    <row r="125" spans="1:6" x14ac:dyDescent="0.25">
      <c r="A125" s="66">
        <v>43865</v>
      </c>
      <c r="B125">
        <v>180.11999499999999</v>
      </c>
      <c r="C125">
        <v>318.85000600000001</v>
      </c>
      <c r="D125">
        <v>1447.0699460000001</v>
      </c>
      <c r="E125">
        <v>2049.669922</v>
      </c>
      <c r="F125">
        <v>149.11000100000001</v>
      </c>
    </row>
    <row r="126" spans="1:6" x14ac:dyDescent="0.25">
      <c r="A126" s="66">
        <v>43866</v>
      </c>
      <c r="B126">
        <v>179.89999399999999</v>
      </c>
      <c r="C126">
        <v>321.45001200000002</v>
      </c>
      <c r="D126">
        <v>1448.2299800000001</v>
      </c>
      <c r="E126">
        <v>2039.869995</v>
      </c>
      <c r="F126">
        <v>156.33000200000001</v>
      </c>
    </row>
    <row r="127" spans="1:6" x14ac:dyDescent="0.25">
      <c r="A127" s="66">
        <v>43867</v>
      </c>
      <c r="B127">
        <v>183.63000500000001</v>
      </c>
      <c r="C127">
        <v>325.209991</v>
      </c>
      <c r="D127">
        <v>1476.2299800000001</v>
      </c>
      <c r="E127">
        <v>2050.2299800000001</v>
      </c>
      <c r="F127">
        <v>156.759995</v>
      </c>
    </row>
    <row r="128" spans="1:6" x14ac:dyDescent="0.25">
      <c r="A128" s="66">
        <v>43868</v>
      </c>
      <c r="B128">
        <v>183.88999899999999</v>
      </c>
      <c r="C128">
        <v>320.02999899999998</v>
      </c>
      <c r="D128">
        <v>1479.2299800000001</v>
      </c>
      <c r="E128">
        <v>2079.280029</v>
      </c>
      <c r="F128">
        <v>153.41000399999999</v>
      </c>
    </row>
    <row r="129" spans="1:6" x14ac:dyDescent="0.25">
      <c r="A129" s="66">
        <v>43871</v>
      </c>
      <c r="B129">
        <v>188.699997</v>
      </c>
      <c r="C129">
        <v>321.54998799999998</v>
      </c>
      <c r="D129">
        <v>1508.6800539999999</v>
      </c>
      <c r="E129">
        <v>2133.9099120000001</v>
      </c>
      <c r="F129">
        <v>154.429993</v>
      </c>
    </row>
    <row r="130" spans="1:6" x14ac:dyDescent="0.25">
      <c r="A130" s="66">
        <v>43872</v>
      </c>
      <c r="B130">
        <v>184.44000199999999</v>
      </c>
      <c r="C130">
        <v>319.60998499999999</v>
      </c>
      <c r="D130">
        <v>1508.790039</v>
      </c>
      <c r="E130">
        <v>2150.8000489999999</v>
      </c>
      <c r="F130">
        <v>153.479996</v>
      </c>
    </row>
    <row r="131" spans="1:6" x14ac:dyDescent="0.25">
      <c r="A131" s="66">
        <v>43873</v>
      </c>
      <c r="B131">
        <v>184.71000699999999</v>
      </c>
      <c r="C131">
        <v>327.20001200000002</v>
      </c>
      <c r="D131">
        <v>1518.2700199999999</v>
      </c>
      <c r="E131">
        <v>2160</v>
      </c>
      <c r="F131">
        <v>155.30999800000001</v>
      </c>
    </row>
    <row r="132" spans="1:6" x14ac:dyDescent="0.25">
      <c r="A132" s="66">
        <v>43874</v>
      </c>
      <c r="B132">
        <v>183.71000699999999</v>
      </c>
      <c r="C132">
        <v>324.86999500000002</v>
      </c>
      <c r="D132">
        <v>1514.660034</v>
      </c>
      <c r="E132">
        <v>2149.8701169999999</v>
      </c>
      <c r="F132">
        <v>154.30999800000001</v>
      </c>
    </row>
    <row r="133" spans="1:6" x14ac:dyDescent="0.25">
      <c r="A133" s="66">
        <v>43875</v>
      </c>
      <c r="B133">
        <v>185.35000600000001</v>
      </c>
      <c r="C133">
        <v>324.95001200000002</v>
      </c>
      <c r="D133">
        <v>1520.73999</v>
      </c>
      <c r="E133">
        <v>2134.8701169999999</v>
      </c>
      <c r="F133">
        <v>150.699997</v>
      </c>
    </row>
    <row r="134" spans="1:6" x14ac:dyDescent="0.25">
      <c r="A134" s="66">
        <v>43879</v>
      </c>
      <c r="B134">
        <v>187.229996</v>
      </c>
      <c r="C134">
        <v>319</v>
      </c>
      <c r="D134">
        <v>1519.670044</v>
      </c>
      <c r="E134">
        <v>2155.669922</v>
      </c>
      <c r="F134">
        <v>151.10000600000001</v>
      </c>
    </row>
    <row r="135" spans="1:6" x14ac:dyDescent="0.25">
      <c r="A135" s="66">
        <v>43880</v>
      </c>
      <c r="B135">
        <v>187.279999</v>
      </c>
      <c r="C135">
        <v>323.61999500000002</v>
      </c>
      <c r="D135">
        <v>1526.6899410000001</v>
      </c>
      <c r="E135">
        <v>2170.219971</v>
      </c>
      <c r="F135">
        <v>150.86000100000001</v>
      </c>
    </row>
    <row r="136" spans="1:6" x14ac:dyDescent="0.25">
      <c r="A136" s="66">
        <v>43881</v>
      </c>
      <c r="B136">
        <v>184.41999799999999</v>
      </c>
      <c r="C136">
        <v>320.29998799999998</v>
      </c>
      <c r="D136">
        <v>1518.150024</v>
      </c>
      <c r="E136">
        <v>2153.1000979999999</v>
      </c>
      <c r="F136">
        <v>151.220001</v>
      </c>
    </row>
    <row r="137" spans="1:6" x14ac:dyDescent="0.25">
      <c r="A137" s="66">
        <v>43882</v>
      </c>
      <c r="B137">
        <v>178.58999600000001</v>
      </c>
      <c r="C137">
        <v>313.04998799999998</v>
      </c>
      <c r="D137">
        <v>1485.1099850000001</v>
      </c>
      <c r="E137">
        <v>2095.969971</v>
      </c>
      <c r="F137">
        <v>149.83999600000001</v>
      </c>
    </row>
    <row r="138" spans="1:6" x14ac:dyDescent="0.25">
      <c r="A138" s="66">
        <v>43885</v>
      </c>
      <c r="B138">
        <v>170.88999899999999</v>
      </c>
      <c r="C138">
        <v>298.17999300000002</v>
      </c>
      <c r="D138">
        <v>1421.589966</v>
      </c>
      <c r="E138">
        <v>2009.290039</v>
      </c>
      <c r="F138">
        <v>146.429993</v>
      </c>
    </row>
    <row r="139" spans="1:6" x14ac:dyDescent="0.25">
      <c r="A139" s="66">
        <v>43886</v>
      </c>
      <c r="B139">
        <v>168.070007</v>
      </c>
      <c r="C139">
        <v>288.07998700000002</v>
      </c>
      <c r="D139">
        <v>1388.4499510000001</v>
      </c>
      <c r="E139">
        <v>1972.73999</v>
      </c>
      <c r="F139">
        <v>141.71000699999999</v>
      </c>
    </row>
    <row r="140" spans="1:6" x14ac:dyDescent="0.25">
      <c r="A140" s="66">
        <v>43887</v>
      </c>
      <c r="B140">
        <v>170.16999799999999</v>
      </c>
      <c r="C140">
        <v>292.64999399999999</v>
      </c>
      <c r="D140">
        <v>1393.1800539999999</v>
      </c>
      <c r="E140">
        <v>1979.589966</v>
      </c>
      <c r="F140">
        <v>139.75</v>
      </c>
    </row>
    <row r="141" spans="1:6" x14ac:dyDescent="0.25">
      <c r="A141" s="66">
        <v>43888</v>
      </c>
      <c r="B141">
        <v>158.179993</v>
      </c>
      <c r="C141">
        <v>273.51998900000001</v>
      </c>
      <c r="D141">
        <v>1318.089966</v>
      </c>
      <c r="E141">
        <v>1884.3000489999999</v>
      </c>
      <c r="F141">
        <v>133.11000100000001</v>
      </c>
    </row>
    <row r="142" spans="1:6" x14ac:dyDescent="0.25">
      <c r="A142" s="66">
        <v>43889</v>
      </c>
      <c r="B142">
        <v>162.009995</v>
      </c>
      <c r="C142">
        <v>273.35998499999999</v>
      </c>
      <c r="D142">
        <v>1339.329956</v>
      </c>
      <c r="E142">
        <v>1883.75</v>
      </c>
      <c r="F142">
        <v>130.14999399999999</v>
      </c>
    </row>
    <row r="143" spans="1:6" x14ac:dyDescent="0.25">
      <c r="A143" s="66">
        <v>43892</v>
      </c>
      <c r="B143">
        <v>172.78999300000001</v>
      </c>
      <c r="C143">
        <v>298.80999800000001</v>
      </c>
      <c r="D143">
        <v>1389.1099850000001</v>
      </c>
      <c r="E143">
        <v>1953.9499510000001</v>
      </c>
      <c r="F143">
        <v>134.300003</v>
      </c>
    </row>
    <row r="144" spans="1:6" x14ac:dyDescent="0.25">
      <c r="A144" s="66">
        <v>43893</v>
      </c>
      <c r="B144">
        <v>164.509995</v>
      </c>
      <c r="C144">
        <v>289.32000699999998</v>
      </c>
      <c r="D144">
        <v>1341.3900149999999</v>
      </c>
      <c r="E144">
        <v>1908.98999</v>
      </c>
      <c r="F144">
        <v>128.89999399999999</v>
      </c>
    </row>
    <row r="145" spans="1:6" x14ac:dyDescent="0.25">
      <c r="A145" s="66">
        <v>43894</v>
      </c>
      <c r="B145">
        <v>170.550003</v>
      </c>
      <c r="C145">
        <v>302.73998999999998</v>
      </c>
      <c r="D145">
        <v>1386.5200199999999</v>
      </c>
      <c r="E145">
        <v>1975.829956</v>
      </c>
      <c r="F145">
        <v>134.220001</v>
      </c>
    </row>
    <row r="146" spans="1:6" x14ac:dyDescent="0.25">
      <c r="A146" s="66">
        <v>43895</v>
      </c>
      <c r="B146">
        <v>166.270004</v>
      </c>
      <c r="C146">
        <v>292.92001299999998</v>
      </c>
      <c r="D146">
        <v>1319.040039</v>
      </c>
      <c r="E146">
        <v>1924.030029</v>
      </c>
      <c r="F146">
        <v>129.550003</v>
      </c>
    </row>
    <row r="147" spans="1:6" x14ac:dyDescent="0.25">
      <c r="A147" s="66">
        <v>43896</v>
      </c>
      <c r="B147">
        <v>161.570007</v>
      </c>
      <c r="C147">
        <v>289.02999899999998</v>
      </c>
      <c r="D147">
        <v>1298.410034</v>
      </c>
      <c r="E147">
        <v>1901.089966</v>
      </c>
      <c r="F147">
        <v>127.730003</v>
      </c>
    </row>
    <row r="148" spans="1:6" x14ac:dyDescent="0.25">
      <c r="A148" s="66">
        <v>43899</v>
      </c>
      <c r="B148">
        <v>150.61999499999999</v>
      </c>
      <c r="C148">
        <v>266.17001299999998</v>
      </c>
      <c r="D148">
        <v>1215.5600589999999</v>
      </c>
      <c r="E148">
        <v>1800.6099850000001</v>
      </c>
      <c r="F148">
        <v>117.80999799999999</v>
      </c>
    </row>
    <row r="149" spans="1:6" x14ac:dyDescent="0.25">
      <c r="A149" s="66">
        <v>43900</v>
      </c>
      <c r="B149">
        <v>160.91999799999999</v>
      </c>
      <c r="C149">
        <v>285.33999599999999</v>
      </c>
      <c r="D149">
        <v>1280.3900149999999</v>
      </c>
      <c r="E149">
        <v>1891.8199460000001</v>
      </c>
      <c r="F149">
        <v>124.769997</v>
      </c>
    </row>
    <row r="150" spans="1:6" x14ac:dyDescent="0.25">
      <c r="A150" s="66">
        <v>43901</v>
      </c>
      <c r="B150">
        <v>153.63000500000001</v>
      </c>
      <c r="C150">
        <v>275.42999300000002</v>
      </c>
      <c r="D150">
        <v>1215.410034</v>
      </c>
      <c r="E150">
        <v>1820.8599850000001</v>
      </c>
      <c r="F150">
        <v>117.970001</v>
      </c>
    </row>
    <row r="151" spans="1:6" x14ac:dyDescent="0.25">
      <c r="A151" s="66">
        <v>43902</v>
      </c>
      <c r="B151">
        <v>139.05999800000001</v>
      </c>
      <c r="C151">
        <v>248.229996</v>
      </c>
      <c r="D151">
        <v>1114.910034</v>
      </c>
      <c r="E151">
        <v>1676.6099850000001</v>
      </c>
      <c r="F151">
        <v>102.80999799999999</v>
      </c>
    </row>
    <row r="152" spans="1:6" x14ac:dyDescent="0.25">
      <c r="A152" s="66">
        <v>43903</v>
      </c>
      <c r="B152">
        <v>158.83000200000001</v>
      </c>
      <c r="C152">
        <v>277.97000100000002</v>
      </c>
      <c r="D152">
        <v>1219.7299800000001</v>
      </c>
      <c r="E152">
        <v>1785</v>
      </c>
      <c r="F152">
        <v>107.949997</v>
      </c>
    </row>
    <row r="153" spans="1:6" x14ac:dyDescent="0.25">
      <c r="A153" s="66">
        <v>43906</v>
      </c>
      <c r="B153">
        <v>135.41999799999999</v>
      </c>
      <c r="C153">
        <v>242.21000699999999</v>
      </c>
      <c r="D153">
        <v>1084.329956</v>
      </c>
      <c r="E153">
        <v>1689.150024</v>
      </c>
      <c r="F153">
        <v>99.080001999999993</v>
      </c>
    </row>
    <row r="154" spans="1:6" x14ac:dyDescent="0.25">
      <c r="A154" s="66">
        <v>43907</v>
      </c>
      <c r="B154">
        <v>146.570007</v>
      </c>
      <c r="C154">
        <v>252.86000100000001</v>
      </c>
      <c r="D154">
        <v>1119.8000489999999</v>
      </c>
      <c r="E154">
        <v>1807.839966</v>
      </c>
      <c r="F154">
        <v>106.650002</v>
      </c>
    </row>
    <row r="155" spans="1:6" x14ac:dyDescent="0.25">
      <c r="A155" s="66">
        <v>43908</v>
      </c>
      <c r="B155">
        <v>140.39999399999999</v>
      </c>
      <c r="C155">
        <v>246.66999799999999</v>
      </c>
      <c r="D155">
        <v>1096.8000489999999</v>
      </c>
      <c r="E155">
        <v>1830</v>
      </c>
      <c r="F155">
        <v>103.550003</v>
      </c>
    </row>
    <row r="156" spans="1:6" x14ac:dyDescent="0.25">
      <c r="A156" s="66">
        <v>43909</v>
      </c>
      <c r="B156">
        <v>142.71000699999999</v>
      </c>
      <c r="C156">
        <v>244.779999</v>
      </c>
      <c r="D156">
        <v>1115.290039</v>
      </c>
      <c r="E156">
        <v>1880.9300539999999</v>
      </c>
      <c r="F156">
        <v>100.339996</v>
      </c>
    </row>
    <row r="157" spans="1:6" x14ac:dyDescent="0.25">
      <c r="A157" s="66">
        <v>43910</v>
      </c>
      <c r="B157">
        <v>137.35000600000001</v>
      </c>
      <c r="C157">
        <v>229.240005</v>
      </c>
      <c r="D157">
        <v>1072.3199460000001</v>
      </c>
      <c r="E157">
        <v>1846.089966</v>
      </c>
      <c r="F157">
        <v>95.389999000000003</v>
      </c>
    </row>
    <row r="158" spans="1:6" x14ac:dyDescent="0.25">
      <c r="A158" s="66">
        <v>43913</v>
      </c>
      <c r="B158">
        <v>135.979996</v>
      </c>
      <c r="C158">
        <v>224.36999499999999</v>
      </c>
      <c r="D158">
        <v>1056.619995</v>
      </c>
      <c r="E158">
        <v>1902.829956</v>
      </c>
      <c r="F158">
        <v>94.769997000000004</v>
      </c>
    </row>
    <row r="159" spans="1:6" x14ac:dyDescent="0.25">
      <c r="A159" s="66">
        <v>43914</v>
      </c>
      <c r="B159">
        <v>148.33999600000001</v>
      </c>
      <c r="C159">
        <v>246.88000500000001</v>
      </c>
      <c r="D159">
        <v>1134.459961</v>
      </c>
      <c r="E159">
        <v>1940.099976</v>
      </c>
      <c r="F159">
        <v>105.480003</v>
      </c>
    </row>
    <row r="160" spans="1:6" x14ac:dyDescent="0.25">
      <c r="A160" s="66">
        <v>43915</v>
      </c>
      <c r="B160">
        <v>146.91999799999999</v>
      </c>
      <c r="C160">
        <v>245.520004</v>
      </c>
      <c r="D160">
        <v>1102.48999</v>
      </c>
      <c r="E160">
        <v>1885.839966</v>
      </c>
      <c r="F160">
        <v>105.849998</v>
      </c>
    </row>
    <row r="161" spans="1:6" x14ac:dyDescent="0.25">
      <c r="A161" s="66">
        <v>43916</v>
      </c>
      <c r="B161">
        <v>156.11000100000001</v>
      </c>
      <c r="C161">
        <v>258.44000199999999</v>
      </c>
      <c r="D161">
        <v>1161.75</v>
      </c>
      <c r="E161">
        <v>1955.48999</v>
      </c>
      <c r="F161">
        <v>112.889999</v>
      </c>
    </row>
    <row r="162" spans="1:6" x14ac:dyDescent="0.25">
      <c r="A162" s="66">
        <v>43917</v>
      </c>
      <c r="B162">
        <v>149.699997</v>
      </c>
      <c r="C162">
        <v>247.740005</v>
      </c>
      <c r="D162">
        <v>1110.709961</v>
      </c>
      <c r="E162">
        <v>1900.099976</v>
      </c>
      <c r="F162">
        <v>108.029999</v>
      </c>
    </row>
    <row r="163" spans="1:6" x14ac:dyDescent="0.25">
      <c r="A163" s="66">
        <v>43920</v>
      </c>
      <c r="B163">
        <v>160.229996</v>
      </c>
      <c r="C163">
        <v>254.80999800000001</v>
      </c>
      <c r="D163">
        <v>1146.8199460000001</v>
      </c>
      <c r="E163">
        <v>1963.9499510000001</v>
      </c>
      <c r="F163">
        <v>112.93</v>
      </c>
    </row>
    <row r="164" spans="1:6" x14ac:dyDescent="0.25">
      <c r="A164" s="66">
        <v>43921</v>
      </c>
      <c r="B164">
        <v>157.71000699999999</v>
      </c>
      <c r="C164">
        <v>254.28999300000001</v>
      </c>
      <c r="D164">
        <v>1162.8100589999999</v>
      </c>
      <c r="E164">
        <v>1949.719971</v>
      </c>
      <c r="F164">
        <v>110.93</v>
      </c>
    </row>
    <row r="165" spans="1:6" x14ac:dyDescent="0.25">
      <c r="A165" s="66">
        <v>43922</v>
      </c>
      <c r="B165">
        <v>152.11000100000001</v>
      </c>
      <c r="C165">
        <v>240.91000399999999</v>
      </c>
      <c r="D165">
        <v>1105.619995</v>
      </c>
      <c r="E165">
        <v>1907.6999510000001</v>
      </c>
      <c r="F165">
        <v>105.139999</v>
      </c>
    </row>
    <row r="166" spans="1:6" x14ac:dyDescent="0.25">
      <c r="A166" s="66">
        <v>43923</v>
      </c>
      <c r="B166">
        <v>155.259995</v>
      </c>
      <c r="C166">
        <v>244.929993</v>
      </c>
      <c r="D166">
        <v>1120.839966</v>
      </c>
      <c r="E166">
        <v>1918.829956</v>
      </c>
      <c r="F166">
        <v>110</v>
      </c>
    </row>
    <row r="167" spans="1:6" x14ac:dyDescent="0.25">
      <c r="A167" s="66">
        <v>43924</v>
      </c>
      <c r="B167">
        <v>153.83000200000001</v>
      </c>
      <c r="C167">
        <v>241.41000399999999</v>
      </c>
      <c r="D167">
        <v>1097.880005</v>
      </c>
      <c r="E167">
        <v>1906.589966</v>
      </c>
      <c r="F167">
        <v>106.339996</v>
      </c>
    </row>
    <row r="168" spans="1:6" x14ac:dyDescent="0.25">
      <c r="A168" s="66">
        <v>43927</v>
      </c>
      <c r="B168">
        <v>165.270004</v>
      </c>
      <c r="C168">
        <v>262.47000100000002</v>
      </c>
      <c r="D168">
        <v>1186.920044</v>
      </c>
      <c r="E168">
        <v>1997.589966</v>
      </c>
      <c r="F168">
        <v>114.82</v>
      </c>
    </row>
    <row r="169" spans="1:6" x14ac:dyDescent="0.25">
      <c r="A169" s="66">
        <v>43928</v>
      </c>
      <c r="B169">
        <v>163.490005</v>
      </c>
      <c r="C169">
        <v>259.42999300000002</v>
      </c>
      <c r="D169">
        <v>1186.51001</v>
      </c>
      <c r="E169">
        <v>2011.599976</v>
      </c>
      <c r="F169">
        <v>114.94000200000001</v>
      </c>
    </row>
    <row r="170" spans="1:6" x14ac:dyDescent="0.25">
      <c r="A170" s="66">
        <v>43929</v>
      </c>
      <c r="B170">
        <v>165.13000500000001</v>
      </c>
      <c r="C170">
        <v>266.07000699999998</v>
      </c>
      <c r="D170">
        <v>1210.280029</v>
      </c>
      <c r="E170">
        <v>2043</v>
      </c>
      <c r="F170">
        <v>119.290001</v>
      </c>
    </row>
    <row r="171" spans="1:6" x14ac:dyDescent="0.25">
      <c r="A171" s="66">
        <v>43930</v>
      </c>
      <c r="B171">
        <v>165.13999899999999</v>
      </c>
      <c r="C171">
        <v>267.98998999999998</v>
      </c>
      <c r="D171">
        <v>1211.4499510000001</v>
      </c>
      <c r="E171">
        <v>2042.76001</v>
      </c>
      <c r="F171">
        <v>121.5</v>
      </c>
    </row>
    <row r="172" spans="1:6" x14ac:dyDescent="0.25">
      <c r="A172" s="66">
        <v>43934</v>
      </c>
      <c r="B172">
        <v>165.509995</v>
      </c>
      <c r="C172">
        <v>273.25</v>
      </c>
      <c r="D172">
        <v>1217.5600589999999</v>
      </c>
      <c r="E172">
        <v>2168.8701169999999</v>
      </c>
      <c r="F172">
        <v>121.150002</v>
      </c>
    </row>
    <row r="173" spans="1:6" x14ac:dyDescent="0.25">
      <c r="A173" s="66">
        <v>43935</v>
      </c>
      <c r="B173">
        <v>173.699997</v>
      </c>
      <c r="C173">
        <v>287.04998799999998</v>
      </c>
      <c r="D173">
        <v>1269.2299800000001</v>
      </c>
      <c r="E173">
        <v>2283.320068</v>
      </c>
      <c r="F173">
        <v>123.910004</v>
      </c>
    </row>
    <row r="174" spans="1:6" x14ac:dyDescent="0.25">
      <c r="A174" s="66">
        <v>43936</v>
      </c>
      <c r="B174">
        <v>171.88000500000001</v>
      </c>
      <c r="C174">
        <v>284.42999300000002</v>
      </c>
      <c r="D174">
        <v>1262.469971</v>
      </c>
      <c r="E174">
        <v>2307.679932</v>
      </c>
      <c r="F174">
        <v>118.69000200000001</v>
      </c>
    </row>
    <row r="175" spans="1:6" x14ac:dyDescent="0.25">
      <c r="A175" s="66">
        <v>43937</v>
      </c>
      <c r="B175">
        <v>177.03999300000001</v>
      </c>
      <c r="C175">
        <v>286.69000199999999</v>
      </c>
      <c r="D175">
        <v>1263.469971</v>
      </c>
      <c r="E175">
        <v>2408.1899410000001</v>
      </c>
      <c r="F175">
        <v>115.730003</v>
      </c>
    </row>
    <row r="176" spans="1:6" x14ac:dyDescent="0.25">
      <c r="A176" s="66">
        <v>43938</v>
      </c>
      <c r="B176">
        <v>178.60000600000001</v>
      </c>
      <c r="C176">
        <v>282.79998799999998</v>
      </c>
      <c r="D176">
        <v>1283.25</v>
      </c>
      <c r="E176">
        <v>2375</v>
      </c>
      <c r="F176">
        <v>120.120003</v>
      </c>
    </row>
    <row r="177" spans="1:6" x14ac:dyDescent="0.25">
      <c r="A177" s="66">
        <v>43941</v>
      </c>
      <c r="B177">
        <v>175.05999800000001</v>
      </c>
      <c r="C177">
        <v>276.92999300000002</v>
      </c>
      <c r="D177">
        <v>1266.6099850000001</v>
      </c>
      <c r="E177">
        <v>2393.610107</v>
      </c>
      <c r="F177">
        <v>120.410004</v>
      </c>
    </row>
    <row r="178" spans="1:6" x14ac:dyDescent="0.25">
      <c r="A178" s="66">
        <v>43942</v>
      </c>
      <c r="B178">
        <v>167.820007</v>
      </c>
      <c r="C178">
        <v>268.36999500000002</v>
      </c>
      <c r="D178">
        <v>1216.339966</v>
      </c>
      <c r="E178">
        <v>2328.1201169999999</v>
      </c>
      <c r="F178">
        <v>116.760002</v>
      </c>
    </row>
    <row r="179" spans="1:6" x14ac:dyDescent="0.25">
      <c r="A179" s="66">
        <v>43943</v>
      </c>
      <c r="B179">
        <v>173.520004</v>
      </c>
      <c r="C179">
        <v>276.10000600000001</v>
      </c>
      <c r="D179">
        <v>1263.209961</v>
      </c>
      <c r="E179">
        <v>2363.48999</v>
      </c>
      <c r="F179">
        <v>119.30999799999999</v>
      </c>
    </row>
    <row r="180" spans="1:6" x14ac:dyDescent="0.25">
      <c r="A180" s="66">
        <v>43944</v>
      </c>
      <c r="B180">
        <v>171.41999799999999</v>
      </c>
      <c r="C180">
        <v>275.02999899999998</v>
      </c>
      <c r="D180">
        <v>1276.3100589999999</v>
      </c>
      <c r="E180">
        <v>2399.4499510000001</v>
      </c>
      <c r="F180">
        <v>121.349998</v>
      </c>
    </row>
    <row r="181" spans="1:6" x14ac:dyDescent="0.25">
      <c r="A181" s="66">
        <v>43945</v>
      </c>
      <c r="B181">
        <v>174.550003</v>
      </c>
      <c r="C181">
        <v>282.97000100000002</v>
      </c>
      <c r="D181">
        <v>1279.3100589999999</v>
      </c>
      <c r="E181">
        <v>2410.219971</v>
      </c>
      <c r="F181">
        <v>124.720001</v>
      </c>
    </row>
    <row r="182" spans="1:6" x14ac:dyDescent="0.25">
      <c r="A182" s="66">
        <v>43948</v>
      </c>
      <c r="B182">
        <v>174.050003</v>
      </c>
      <c r="C182">
        <v>283.17001299999998</v>
      </c>
      <c r="D182">
        <v>1275.880005</v>
      </c>
      <c r="E182">
        <v>2376</v>
      </c>
      <c r="F182">
        <v>125.91999800000001</v>
      </c>
    </row>
    <row r="183" spans="1:6" x14ac:dyDescent="0.25">
      <c r="A183" s="66">
        <v>43949</v>
      </c>
      <c r="B183">
        <v>169.80999800000001</v>
      </c>
      <c r="C183">
        <v>278.57998700000002</v>
      </c>
      <c r="D183">
        <v>1233.670044</v>
      </c>
      <c r="E183">
        <v>2314.080078</v>
      </c>
      <c r="F183">
        <v>126.269997</v>
      </c>
    </row>
    <row r="184" spans="1:6" x14ac:dyDescent="0.25">
      <c r="A184" s="66">
        <v>43950</v>
      </c>
      <c r="B184">
        <v>177.429993</v>
      </c>
      <c r="C184">
        <v>287.73001099999999</v>
      </c>
      <c r="D184">
        <v>1341.4799800000001</v>
      </c>
      <c r="E184">
        <v>2372.709961</v>
      </c>
      <c r="F184">
        <v>128.69000199999999</v>
      </c>
    </row>
    <row r="185" spans="1:6" x14ac:dyDescent="0.25">
      <c r="A185" s="66">
        <v>43951</v>
      </c>
      <c r="B185">
        <v>179.21000699999999</v>
      </c>
      <c r="C185">
        <v>293.79998799999998</v>
      </c>
      <c r="D185">
        <v>1348.660034</v>
      </c>
      <c r="E185">
        <v>2474</v>
      </c>
      <c r="F185">
        <v>125.55999799999999</v>
      </c>
    </row>
    <row r="186" spans="1:6" x14ac:dyDescent="0.25">
      <c r="A186" s="66">
        <v>43952</v>
      </c>
      <c r="B186">
        <v>174.570007</v>
      </c>
      <c r="C186">
        <v>289.07000699999998</v>
      </c>
      <c r="D186">
        <v>1320.6099850000001</v>
      </c>
      <c r="E186">
        <v>2286.040039</v>
      </c>
      <c r="F186">
        <v>121.870003</v>
      </c>
    </row>
    <row r="187" spans="1:6" x14ac:dyDescent="0.25">
      <c r="A187" s="66">
        <v>43955</v>
      </c>
      <c r="B187">
        <v>178.83999600000001</v>
      </c>
      <c r="C187">
        <v>293.16000400000001</v>
      </c>
      <c r="D187">
        <v>1326.8000489999999</v>
      </c>
      <c r="E187">
        <v>2315.98999</v>
      </c>
      <c r="F187">
        <v>121.68</v>
      </c>
    </row>
    <row r="188" spans="1:6" x14ac:dyDescent="0.25">
      <c r="A188" s="66">
        <v>43956</v>
      </c>
      <c r="B188">
        <v>180.759995</v>
      </c>
      <c r="C188">
        <v>297.55999800000001</v>
      </c>
      <c r="D188">
        <v>1351.1099850000001</v>
      </c>
      <c r="E188">
        <v>2317.8000489999999</v>
      </c>
      <c r="F188">
        <v>122.58000199999999</v>
      </c>
    </row>
    <row r="189" spans="1:6" x14ac:dyDescent="0.25">
      <c r="A189" s="66">
        <v>43957</v>
      </c>
      <c r="B189">
        <v>182.53999300000001</v>
      </c>
      <c r="C189">
        <v>300.63000499999998</v>
      </c>
      <c r="D189">
        <v>1347.3000489999999</v>
      </c>
      <c r="E189">
        <v>2351.26001</v>
      </c>
      <c r="F189">
        <v>123.16999800000001</v>
      </c>
    </row>
    <row r="190" spans="1:6" x14ac:dyDescent="0.25">
      <c r="A190" s="66">
        <v>43958</v>
      </c>
      <c r="B190">
        <v>183.60000600000001</v>
      </c>
      <c r="C190">
        <v>303.73998999999998</v>
      </c>
      <c r="D190">
        <v>1372.5600589999999</v>
      </c>
      <c r="E190">
        <v>2367.610107</v>
      </c>
      <c r="F190">
        <v>121.230003</v>
      </c>
    </row>
    <row r="191" spans="1:6" x14ac:dyDescent="0.25">
      <c r="A191" s="66">
        <v>43959</v>
      </c>
      <c r="B191">
        <v>184.679993</v>
      </c>
      <c r="C191">
        <v>310.13000499999998</v>
      </c>
      <c r="D191">
        <v>1388.369995</v>
      </c>
      <c r="E191">
        <v>2379.610107</v>
      </c>
      <c r="F191">
        <v>122.989998</v>
      </c>
    </row>
    <row r="192" spans="1:6" x14ac:dyDescent="0.25">
      <c r="A192" s="66">
        <v>43962</v>
      </c>
      <c r="B192">
        <v>186.740005</v>
      </c>
      <c r="C192">
        <v>315.01001000000002</v>
      </c>
      <c r="D192">
        <v>1403.26001</v>
      </c>
      <c r="E192">
        <v>2409</v>
      </c>
      <c r="F192">
        <v>122.589996</v>
      </c>
    </row>
    <row r="193" spans="1:6" x14ac:dyDescent="0.25">
      <c r="A193" s="66">
        <v>43963</v>
      </c>
      <c r="B193">
        <v>182.509995</v>
      </c>
      <c r="C193">
        <v>311.41000400000001</v>
      </c>
      <c r="D193">
        <v>1375.73999</v>
      </c>
      <c r="E193">
        <v>2356.9499510000001</v>
      </c>
      <c r="F193">
        <v>120.260002</v>
      </c>
    </row>
    <row r="194" spans="1:6" x14ac:dyDescent="0.25">
      <c r="A194" s="66">
        <v>43964</v>
      </c>
      <c r="B194">
        <v>179.75</v>
      </c>
      <c r="C194">
        <v>307.64999399999999</v>
      </c>
      <c r="D194">
        <v>1349.329956</v>
      </c>
      <c r="E194">
        <v>2367.919922</v>
      </c>
      <c r="F194">
        <v>115.730003</v>
      </c>
    </row>
    <row r="195" spans="1:6" x14ac:dyDescent="0.25">
      <c r="A195" s="66">
        <v>43965</v>
      </c>
      <c r="B195">
        <v>180.529999</v>
      </c>
      <c r="C195">
        <v>309.540009</v>
      </c>
      <c r="D195">
        <v>1356.130005</v>
      </c>
      <c r="E195">
        <v>2388.8500979999999</v>
      </c>
      <c r="F195">
        <v>116.949997</v>
      </c>
    </row>
    <row r="196" spans="1:6" x14ac:dyDescent="0.25">
      <c r="A196" s="66">
        <v>43966</v>
      </c>
      <c r="B196">
        <v>183.16000399999999</v>
      </c>
      <c r="C196">
        <v>307.709991</v>
      </c>
      <c r="D196">
        <v>1373.1899410000001</v>
      </c>
      <c r="E196">
        <v>2409.780029</v>
      </c>
      <c r="F196">
        <v>116.980003</v>
      </c>
    </row>
    <row r="197" spans="1:6" x14ac:dyDescent="0.25">
      <c r="A197" s="66">
        <v>43969</v>
      </c>
      <c r="B197">
        <v>184.91000399999999</v>
      </c>
      <c r="C197">
        <v>314.959991</v>
      </c>
      <c r="D197">
        <v>1383.9399410000001</v>
      </c>
      <c r="E197">
        <v>2426.26001</v>
      </c>
      <c r="F197">
        <v>121.55999799999999</v>
      </c>
    </row>
    <row r="198" spans="1:6" x14ac:dyDescent="0.25">
      <c r="A198" s="66">
        <v>43970</v>
      </c>
      <c r="B198">
        <v>183.63000500000001</v>
      </c>
      <c r="C198">
        <v>313.14001500000001</v>
      </c>
      <c r="D198">
        <v>1373.4849850000001</v>
      </c>
      <c r="E198">
        <v>2449.330078</v>
      </c>
      <c r="F198">
        <v>120.290001</v>
      </c>
    </row>
    <row r="199" spans="1:6" x14ac:dyDescent="0.25">
      <c r="A199" s="66">
        <v>43971</v>
      </c>
      <c r="B199">
        <v>185.66000399999999</v>
      </c>
      <c r="C199">
        <v>319.23001099999999</v>
      </c>
      <c r="D199">
        <v>1406.719971</v>
      </c>
      <c r="E199">
        <v>2497.9399410000001</v>
      </c>
      <c r="F199">
        <v>121.379997</v>
      </c>
    </row>
    <row r="200" spans="1:6" x14ac:dyDescent="0.25">
      <c r="A200" s="66">
        <v>43972</v>
      </c>
      <c r="B200">
        <v>183.429993</v>
      </c>
      <c r="C200">
        <v>316.85000600000001</v>
      </c>
      <c r="D200">
        <v>1402.8000489999999</v>
      </c>
      <c r="E200">
        <v>2446.73999</v>
      </c>
      <c r="F200">
        <v>119.120003</v>
      </c>
    </row>
    <row r="201" spans="1:6" x14ac:dyDescent="0.25">
      <c r="A201" s="66">
        <v>43973</v>
      </c>
      <c r="B201">
        <v>183.509995</v>
      </c>
      <c r="C201">
        <v>318.89001500000001</v>
      </c>
      <c r="D201">
        <v>1410.420044</v>
      </c>
      <c r="E201">
        <v>2436.8798830000001</v>
      </c>
      <c r="F201">
        <v>118.389999</v>
      </c>
    </row>
    <row r="202" spans="1:6" x14ac:dyDescent="0.25">
      <c r="A202" s="66">
        <v>43977</v>
      </c>
      <c r="B202">
        <v>181.570007</v>
      </c>
      <c r="C202">
        <v>316.73001099999999</v>
      </c>
      <c r="D202">
        <v>1417.0200199999999</v>
      </c>
      <c r="E202">
        <v>2421.860107</v>
      </c>
      <c r="F202">
        <v>121.760002</v>
      </c>
    </row>
    <row r="203" spans="1:6" x14ac:dyDescent="0.25">
      <c r="A203" s="66">
        <v>43978</v>
      </c>
      <c r="B203">
        <v>181.80999800000001</v>
      </c>
      <c r="C203">
        <v>318.10998499999999</v>
      </c>
      <c r="D203">
        <v>1417.839966</v>
      </c>
      <c r="E203">
        <v>2410.389893</v>
      </c>
      <c r="F203">
        <v>125.540001</v>
      </c>
    </row>
    <row r="204" spans="1:6" x14ac:dyDescent="0.25">
      <c r="A204" s="66">
        <v>43979</v>
      </c>
      <c r="B204">
        <v>181.39999399999999</v>
      </c>
      <c r="C204">
        <v>318.25</v>
      </c>
      <c r="D204">
        <v>1416.7299800000001</v>
      </c>
      <c r="E204">
        <v>2401.1000979999999</v>
      </c>
      <c r="F204">
        <v>124.529999</v>
      </c>
    </row>
    <row r="205" spans="1:6" x14ac:dyDescent="0.25">
      <c r="A205" s="66">
        <v>43980</v>
      </c>
      <c r="B205">
        <v>183.25</v>
      </c>
      <c r="C205">
        <v>317.94000199999999</v>
      </c>
      <c r="D205">
        <v>1428.920044</v>
      </c>
      <c r="E205">
        <v>2442.3701169999999</v>
      </c>
      <c r="F205">
        <v>124.900002</v>
      </c>
    </row>
    <row r="206" spans="1:6" x14ac:dyDescent="0.25">
      <c r="A206" s="66">
        <v>43983</v>
      </c>
      <c r="B206">
        <v>182.83000200000001</v>
      </c>
      <c r="C206">
        <v>321.85000600000001</v>
      </c>
      <c r="D206">
        <v>1431.8199460000001</v>
      </c>
      <c r="E206">
        <v>2471.040039</v>
      </c>
      <c r="F206">
        <v>124.889999</v>
      </c>
    </row>
    <row r="207" spans="1:6" x14ac:dyDescent="0.25">
      <c r="A207" s="66">
        <v>43984</v>
      </c>
      <c r="B207">
        <v>184.91000399999999</v>
      </c>
      <c r="C207">
        <v>323.33999599999999</v>
      </c>
      <c r="D207">
        <v>1439.219971</v>
      </c>
      <c r="E207">
        <v>2472.4099120000001</v>
      </c>
      <c r="F207">
        <v>126</v>
      </c>
    </row>
    <row r="208" spans="1:6" x14ac:dyDescent="0.25">
      <c r="A208" s="66">
        <v>43985</v>
      </c>
      <c r="B208">
        <v>185.36000100000001</v>
      </c>
      <c r="C208">
        <v>325.11999500000002</v>
      </c>
      <c r="D208">
        <v>1436.380005</v>
      </c>
      <c r="E208">
        <v>2478.3999020000001</v>
      </c>
      <c r="F208">
        <v>129.050003</v>
      </c>
    </row>
    <row r="209" spans="1:6" x14ac:dyDescent="0.25">
      <c r="A209" s="66">
        <v>43986</v>
      </c>
      <c r="B209">
        <v>182.91999799999999</v>
      </c>
      <c r="C209">
        <v>322.32000699999998</v>
      </c>
      <c r="D209">
        <v>1412.1800539999999</v>
      </c>
      <c r="E209">
        <v>2460.6000979999999</v>
      </c>
      <c r="F209">
        <v>128.88999899999999</v>
      </c>
    </row>
    <row r="210" spans="1:6" x14ac:dyDescent="0.25">
      <c r="A210" s="66">
        <v>43987</v>
      </c>
      <c r="B210">
        <v>187.199997</v>
      </c>
      <c r="C210">
        <v>331.5</v>
      </c>
      <c r="D210">
        <v>1438.3900149999999</v>
      </c>
      <c r="E210">
        <v>2483</v>
      </c>
      <c r="F210">
        <v>132.05999800000001</v>
      </c>
    </row>
    <row r="211" spans="1:6" x14ac:dyDescent="0.25">
      <c r="A211" s="66">
        <v>43990</v>
      </c>
      <c r="B211">
        <v>188.36000100000001</v>
      </c>
      <c r="C211">
        <v>333.459991</v>
      </c>
      <c r="D211">
        <v>1446.6099850000001</v>
      </c>
      <c r="E211">
        <v>2524.0600589999999</v>
      </c>
      <c r="F211">
        <v>135.75</v>
      </c>
    </row>
    <row r="212" spans="1:6" x14ac:dyDescent="0.25">
      <c r="A212" s="66">
        <v>43991</v>
      </c>
      <c r="B212">
        <v>189.800003</v>
      </c>
      <c r="C212">
        <v>343.98998999999998</v>
      </c>
      <c r="D212">
        <v>1456.160034</v>
      </c>
      <c r="E212">
        <v>2600.860107</v>
      </c>
      <c r="F212">
        <v>131.86999499999999</v>
      </c>
    </row>
    <row r="213" spans="1:6" x14ac:dyDescent="0.25">
      <c r="A213" s="66">
        <v>43992</v>
      </c>
      <c r="B213">
        <v>196.83999600000001</v>
      </c>
      <c r="C213">
        <v>352.83999599999999</v>
      </c>
      <c r="D213">
        <v>1465.849976</v>
      </c>
      <c r="E213">
        <v>2647.4499510000001</v>
      </c>
      <c r="F213">
        <v>129.86999499999999</v>
      </c>
    </row>
    <row r="214" spans="1:6" x14ac:dyDescent="0.25">
      <c r="A214" s="66">
        <v>43993</v>
      </c>
      <c r="B214">
        <v>186.270004</v>
      </c>
      <c r="C214">
        <v>335.89999399999999</v>
      </c>
      <c r="D214">
        <v>1403.839966</v>
      </c>
      <c r="E214">
        <v>2557.959961</v>
      </c>
      <c r="F214">
        <v>118.010002</v>
      </c>
    </row>
    <row r="215" spans="1:6" x14ac:dyDescent="0.25">
      <c r="A215" s="66">
        <v>43994</v>
      </c>
      <c r="B215">
        <v>187.740005</v>
      </c>
      <c r="C215">
        <v>338.79998799999998</v>
      </c>
      <c r="D215">
        <v>1413.1800539999999</v>
      </c>
      <c r="E215">
        <v>2545.0200199999999</v>
      </c>
      <c r="F215">
        <v>121.910004</v>
      </c>
    </row>
    <row r="216" spans="1:6" x14ac:dyDescent="0.25">
      <c r="A216" s="66">
        <v>43997</v>
      </c>
      <c r="B216">
        <v>188.94000199999999</v>
      </c>
      <c r="C216">
        <v>342.98998999999998</v>
      </c>
      <c r="D216">
        <v>1419.849976</v>
      </c>
      <c r="E216">
        <v>2572.679932</v>
      </c>
      <c r="F216">
        <v>121.650002</v>
      </c>
    </row>
    <row r="217" spans="1:6" x14ac:dyDescent="0.25">
      <c r="A217" s="66">
        <v>43998</v>
      </c>
      <c r="B217">
        <v>193.570007</v>
      </c>
      <c r="C217">
        <v>352.07998700000002</v>
      </c>
      <c r="D217">
        <v>1442.719971</v>
      </c>
      <c r="E217">
        <v>2615.2700199999999</v>
      </c>
      <c r="F217">
        <v>125.150002</v>
      </c>
    </row>
    <row r="218" spans="1:6" x14ac:dyDescent="0.25">
      <c r="A218" s="66">
        <v>43999</v>
      </c>
      <c r="B218">
        <v>194.240005</v>
      </c>
      <c r="C218">
        <v>351.58999599999999</v>
      </c>
      <c r="D218">
        <v>1451.119995</v>
      </c>
      <c r="E218">
        <v>2640.9799800000001</v>
      </c>
      <c r="F218">
        <v>124.150002</v>
      </c>
    </row>
    <row r="219" spans="1:6" x14ac:dyDescent="0.25">
      <c r="A219" s="66">
        <v>44000</v>
      </c>
      <c r="B219">
        <v>196.320007</v>
      </c>
      <c r="C219">
        <v>351.73001099999999</v>
      </c>
      <c r="D219">
        <v>1435.959961</v>
      </c>
      <c r="E219">
        <v>2653.9799800000001</v>
      </c>
      <c r="F219">
        <v>124.160004</v>
      </c>
    </row>
    <row r="220" spans="1:6" x14ac:dyDescent="0.25">
      <c r="A220" s="66">
        <v>44001</v>
      </c>
      <c r="B220">
        <v>195.14999399999999</v>
      </c>
      <c r="C220">
        <v>349.72000100000002</v>
      </c>
      <c r="D220">
        <v>1431.719971</v>
      </c>
      <c r="E220">
        <v>2675.01001</v>
      </c>
      <c r="F220">
        <v>122.470001</v>
      </c>
    </row>
    <row r="221" spans="1:6" x14ac:dyDescent="0.25">
      <c r="A221" s="66">
        <v>44004</v>
      </c>
      <c r="B221">
        <v>200.570007</v>
      </c>
      <c r="C221">
        <v>358.86999500000002</v>
      </c>
      <c r="D221">
        <v>1451.8599850000001</v>
      </c>
      <c r="E221">
        <v>2713.820068</v>
      </c>
      <c r="F221">
        <v>121.07</v>
      </c>
    </row>
    <row r="222" spans="1:6" x14ac:dyDescent="0.25">
      <c r="A222" s="66">
        <v>44005</v>
      </c>
      <c r="B222">
        <v>201.91000399999999</v>
      </c>
      <c r="C222">
        <v>366.52999899999998</v>
      </c>
      <c r="D222">
        <v>1464.410034</v>
      </c>
      <c r="E222">
        <v>2764.4099120000001</v>
      </c>
      <c r="F222">
        <v>119.410004</v>
      </c>
    </row>
    <row r="223" spans="1:6" x14ac:dyDescent="0.25">
      <c r="A223" s="66">
        <v>44006</v>
      </c>
      <c r="B223">
        <v>197.83999600000001</v>
      </c>
      <c r="C223">
        <v>360.05999800000001</v>
      </c>
      <c r="D223">
        <v>1431.969971</v>
      </c>
      <c r="E223">
        <v>2734.3999020000001</v>
      </c>
      <c r="F223">
        <v>116.41999800000001</v>
      </c>
    </row>
    <row r="224" spans="1:6" x14ac:dyDescent="0.25">
      <c r="A224" s="66">
        <v>44007</v>
      </c>
      <c r="B224">
        <v>200.33999600000001</v>
      </c>
      <c r="C224">
        <v>364.83999599999999</v>
      </c>
      <c r="D224">
        <v>1441.329956</v>
      </c>
      <c r="E224">
        <v>2754.580078</v>
      </c>
      <c r="F224">
        <v>119.029999</v>
      </c>
    </row>
    <row r="225" spans="1:6" x14ac:dyDescent="0.25">
      <c r="A225" s="66">
        <v>44008</v>
      </c>
      <c r="B225">
        <v>196.33000200000001</v>
      </c>
      <c r="C225">
        <v>353.63000499999998</v>
      </c>
      <c r="D225">
        <v>1359.900024</v>
      </c>
      <c r="E225">
        <v>2692.8701169999999</v>
      </c>
      <c r="F225">
        <v>117.19000200000001</v>
      </c>
    </row>
    <row r="226" spans="1:6" x14ac:dyDescent="0.25">
      <c r="A226" s="66">
        <v>44011</v>
      </c>
      <c r="B226">
        <v>198.44000199999999</v>
      </c>
      <c r="C226">
        <v>361.77999899999998</v>
      </c>
      <c r="D226">
        <v>1394.969971</v>
      </c>
      <c r="E226">
        <v>2680.3798830000001</v>
      </c>
      <c r="F226">
        <v>119.75</v>
      </c>
    </row>
    <row r="227" spans="1:6" x14ac:dyDescent="0.25">
      <c r="A227" s="66">
        <v>44012</v>
      </c>
      <c r="B227">
        <v>203.509995</v>
      </c>
      <c r="C227">
        <v>364.79998799999998</v>
      </c>
      <c r="D227">
        <v>1413.6099850000001</v>
      </c>
      <c r="E227">
        <v>2758.820068</v>
      </c>
      <c r="F227">
        <v>120.769997</v>
      </c>
    </row>
    <row r="228" spans="1:6" x14ac:dyDescent="0.25">
      <c r="A228" s="66">
        <v>44013</v>
      </c>
      <c r="B228">
        <v>204.699997</v>
      </c>
      <c r="C228">
        <v>364.10998499999999</v>
      </c>
      <c r="D228">
        <v>1438.040039</v>
      </c>
      <c r="E228">
        <v>2878.6999510000001</v>
      </c>
      <c r="F228">
        <v>118.540001</v>
      </c>
    </row>
    <row r="229" spans="1:6" x14ac:dyDescent="0.25">
      <c r="A229" s="66">
        <v>44014</v>
      </c>
      <c r="B229">
        <v>206.259995</v>
      </c>
      <c r="C229">
        <v>364.10998499999999</v>
      </c>
      <c r="D229">
        <v>1464.6999510000001</v>
      </c>
      <c r="E229">
        <v>2890.3000489999999</v>
      </c>
      <c r="F229">
        <v>119.699997</v>
      </c>
    </row>
    <row r="230" spans="1:6" x14ac:dyDescent="0.25">
      <c r="A230" s="66">
        <v>44018</v>
      </c>
      <c r="B230">
        <v>210.699997</v>
      </c>
      <c r="C230">
        <v>373.85000600000001</v>
      </c>
      <c r="D230">
        <v>1495.6999510000001</v>
      </c>
      <c r="E230">
        <v>3057.040039</v>
      </c>
      <c r="F230">
        <v>120.19000200000001</v>
      </c>
    </row>
    <row r="231" spans="1:6" x14ac:dyDescent="0.25">
      <c r="A231" s="66">
        <v>44019</v>
      </c>
      <c r="B231">
        <v>208.25</v>
      </c>
      <c r="C231">
        <v>372.69000199999999</v>
      </c>
      <c r="D231">
        <v>1485.1800539999999</v>
      </c>
      <c r="E231">
        <v>3000.1201169999999</v>
      </c>
      <c r="F231">
        <v>117.58000199999999</v>
      </c>
    </row>
    <row r="232" spans="1:6" x14ac:dyDescent="0.25">
      <c r="A232" s="66">
        <v>44020</v>
      </c>
      <c r="B232">
        <v>212.83000200000001</v>
      </c>
      <c r="C232">
        <v>381.36999500000002</v>
      </c>
      <c r="D232">
        <v>1496</v>
      </c>
      <c r="E232">
        <v>3081.110107</v>
      </c>
      <c r="F232">
        <v>117.709999</v>
      </c>
    </row>
    <row r="233" spans="1:6" x14ac:dyDescent="0.25">
      <c r="A233" s="66">
        <v>44021</v>
      </c>
      <c r="B233">
        <v>214.320007</v>
      </c>
      <c r="C233">
        <v>383.01001000000002</v>
      </c>
      <c r="D233">
        <v>1510.98999</v>
      </c>
      <c r="E233">
        <v>3182.6298830000001</v>
      </c>
      <c r="F233">
        <v>115.709999</v>
      </c>
    </row>
    <row r="234" spans="1:6" x14ac:dyDescent="0.25">
      <c r="A234" s="66">
        <v>44022</v>
      </c>
      <c r="B234">
        <v>213.66999799999999</v>
      </c>
      <c r="C234">
        <v>383.67999300000002</v>
      </c>
      <c r="D234">
        <v>1541.73999</v>
      </c>
      <c r="E234">
        <v>3200</v>
      </c>
      <c r="F234">
        <v>118.349998</v>
      </c>
    </row>
    <row r="235" spans="1:6" x14ac:dyDescent="0.25">
      <c r="A235" s="66">
        <v>44025</v>
      </c>
      <c r="B235">
        <v>207.070007</v>
      </c>
      <c r="C235">
        <v>381.91000400000001</v>
      </c>
      <c r="D235">
        <v>1511.339966</v>
      </c>
      <c r="E235">
        <v>3104</v>
      </c>
      <c r="F235">
        <v>119.199997</v>
      </c>
    </row>
    <row r="236" spans="1:6" x14ac:dyDescent="0.25">
      <c r="A236" s="66">
        <v>44026</v>
      </c>
      <c r="B236">
        <v>208.35000600000001</v>
      </c>
      <c r="C236">
        <v>388.23001099999999</v>
      </c>
      <c r="D236">
        <v>1520.579956</v>
      </c>
      <c r="E236">
        <v>3084</v>
      </c>
      <c r="F236">
        <v>120.599998</v>
      </c>
    </row>
    <row r="237" spans="1:6" x14ac:dyDescent="0.25">
      <c r="A237" s="66">
        <v>44027</v>
      </c>
      <c r="B237">
        <v>208.03999300000001</v>
      </c>
      <c r="C237">
        <v>390.89999399999999</v>
      </c>
      <c r="D237">
        <v>1513.6400149999999</v>
      </c>
      <c r="E237">
        <v>3008.8701169999999</v>
      </c>
      <c r="F237">
        <v>123</v>
      </c>
    </row>
    <row r="238" spans="1:6" x14ac:dyDescent="0.25">
      <c r="A238" s="66">
        <v>44028</v>
      </c>
      <c r="B238">
        <v>203.91999799999999</v>
      </c>
      <c r="C238">
        <v>386.08999599999999</v>
      </c>
      <c r="D238">
        <v>1518</v>
      </c>
      <c r="E238">
        <v>2999.8999020000001</v>
      </c>
      <c r="F238">
        <v>124.010002</v>
      </c>
    </row>
    <row r="239" spans="1:6" x14ac:dyDescent="0.25">
      <c r="A239" s="66">
        <v>44029</v>
      </c>
      <c r="B239">
        <v>202.88000500000001</v>
      </c>
      <c r="C239">
        <v>385.30999800000001</v>
      </c>
      <c r="D239">
        <v>1515.5500489999999</v>
      </c>
      <c r="E239">
        <v>2961.969971</v>
      </c>
      <c r="F239">
        <v>125.110001</v>
      </c>
    </row>
    <row r="240" spans="1:6" x14ac:dyDescent="0.25">
      <c r="A240" s="66">
        <v>44032</v>
      </c>
      <c r="B240">
        <v>211.60000600000001</v>
      </c>
      <c r="C240">
        <v>393.42999300000002</v>
      </c>
      <c r="D240">
        <v>1565.719971</v>
      </c>
      <c r="E240">
        <v>3196.8400879999999</v>
      </c>
      <c r="F240">
        <v>126.370003</v>
      </c>
    </row>
    <row r="241" spans="1:6" x14ac:dyDescent="0.25">
      <c r="A241" s="66">
        <v>44033</v>
      </c>
      <c r="B241">
        <v>208.75</v>
      </c>
      <c r="C241">
        <v>388</v>
      </c>
      <c r="D241">
        <v>1558.420044</v>
      </c>
      <c r="E241">
        <v>3138.290039</v>
      </c>
      <c r="F241">
        <v>126.05999799999999</v>
      </c>
    </row>
    <row r="242" spans="1:6" x14ac:dyDescent="0.25">
      <c r="A242" s="66">
        <v>44034</v>
      </c>
      <c r="B242">
        <v>211.75</v>
      </c>
      <c r="C242">
        <v>389.08999599999999</v>
      </c>
      <c r="D242">
        <v>1568.48999</v>
      </c>
      <c r="E242">
        <v>3099.9099120000001</v>
      </c>
      <c r="F242">
        <v>128.66999799999999</v>
      </c>
    </row>
    <row r="243" spans="1:6" x14ac:dyDescent="0.25">
      <c r="A243" s="66">
        <v>44035</v>
      </c>
      <c r="B243">
        <v>202.53999300000001</v>
      </c>
      <c r="C243">
        <v>371.38000499999998</v>
      </c>
      <c r="D243">
        <v>1515.6800539999999</v>
      </c>
      <c r="E243">
        <v>2986.5500489999999</v>
      </c>
      <c r="F243">
        <v>127.33000199999999</v>
      </c>
    </row>
    <row r="244" spans="1:6" x14ac:dyDescent="0.25">
      <c r="A244" s="66">
        <v>44036</v>
      </c>
      <c r="B244">
        <v>201.300003</v>
      </c>
      <c r="C244">
        <v>370.459991</v>
      </c>
      <c r="D244">
        <v>1511.869995</v>
      </c>
      <c r="E244">
        <v>3008.9099120000001</v>
      </c>
      <c r="F244">
        <v>125.790001</v>
      </c>
    </row>
    <row r="245" spans="1:6" x14ac:dyDescent="0.25">
      <c r="A245" s="66">
        <v>44039</v>
      </c>
      <c r="B245">
        <v>203.85000600000001</v>
      </c>
      <c r="C245">
        <v>379.23998999999998</v>
      </c>
      <c r="D245">
        <v>1530.1999510000001</v>
      </c>
      <c r="E245">
        <v>3055.209961</v>
      </c>
      <c r="F245">
        <v>126.209999</v>
      </c>
    </row>
    <row r="246" spans="1:6" x14ac:dyDescent="0.25">
      <c r="A246" s="66">
        <v>44040</v>
      </c>
      <c r="B246">
        <v>202.020004</v>
      </c>
      <c r="C246">
        <v>373.01001000000002</v>
      </c>
      <c r="D246">
        <v>1500.339966</v>
      </c>
      <c r="E246">
        <v>3000.330078</v>
      </c>
      <c r="F246">
        <v>124.470001</v>
      </c>
    </row>
    <row r="247" spans="1:6" x14ac:dyDescent="0.25">
      <c r="A247" s="66">
        <v>44041</v>
      </c>
      <c r="B247">
        <v>204.05999800000001</v>
      </c>
      <c r="C247">
        <v>380.16000400000001</v>
      </c>
      <c r="D247">
        <v>1522.0200199999999</v>
      </c>
      <c r="E247">
        <v>3033.530029</v>
      </c>
      <c r="F247">
        <v>125.32</v>
      </c>
    </row>
    <row r="248" spans="1:6" x14ac:dyDescent="0.25">
      <c r="A248" s="66">
        <v>44042</v>
      </c>
      <c r="B248">
        <v>203.89999399999999</v>
      </c>
      <c r="C248">
        <v>384.76001000000002</v>
      </c>
      <c r="D248">
        <v>1531.4499510000001</v>
      </c>
      <c r="E248">
        <v>3051.8798830000001</v>
      </c>
      <c r="F248">
        <v>122.900002</v>
      </c>
    </row>
    <row r="249" spans="1:6" x14ac:dyDescent="0.25">
      <c r="A249" s="66">
        <v>44043</v>
      </c>
      <c r="B249">
        <v>205.009995</v>
      </c>
      <c r="C249">
        <v>425.040009</v>
      </c>
      <c r="D249">
        <v>1482.959961</v>
      </c>
      <c r="E249">
        <v>3164.679932</v>
      </c>
      <c r="F249">
        <v>122.94000200000001</v>
      </c>
    </row>
    <row r="250" spans="1:6" x14ac:dyDescent="0.25">
      <c r="A250" s="66">
        <v>44046</v>
      </c>
      <c r="B250">
        <v>216.53999300000001</v>
      </c>
      <c r="C250">
        <v>435.75</v>
      </c>
      <c r="D250">
        <v>1474.4499510000001</v>
      </c>
      <c r="E250">
        <v>3111.889893</v>
      </c>
      <c r="F250">
        <v>124.30999799999999</v>
      </c>
    </row>
    <row r="251" spans="1:6" x14ac:dyDescent="0.25">
      <c r="A251" s="66">
        <v>44047</v>
      </c>
      <c r="B251">
        <v>213.28999300000001</v>
      </c>
      <c r="C251">
        <v>438.66000400000001</v>
      </c>
      <c r="D251">
        <v>1464.969971</v>
      </c>
      <c r="E251">
        <v>3138.830078</v>
      </c>
      <c r="F251">
        <v>125.839996</v>
      </c>
    </row>
    <row r="252" spans="1:6" x14ac:dyDescent="0.25">
      <c r="A252" s="66">
        <v>44048</v>
      </c>
      <c r="B252">
        <v>212.94000199999999</v>
      </c>
      <c r="C252">
        <v>440.25</v>
      </c>
      <c r="D252">
        <v>1473.6099850000001</v>
      </c>
      <c r="E252">
        <v>3205.030029</v>
      </c>
      <c r="F252">
        <v>125.449997</v>
      </c>
    </row>
    <row r="253" spans="1:6" x14ac:dyDescent="0.25">
      <c r="A253" s="66">
        <v>44049</v>
      </c>
      <c r="B253">
        <v>216.35000600000001</v>
      </c>
      <c r="C253">
        <v>455.60998499999999</v>
      </c>
      <c r="D253">
        <v>1500.099976</v>
      </c>
      <c r="E253">
        <v>3225</v>
      </c>
      <c r="F253">
        <v>126.120003</v>
      </c>
    </row>
    <row r="254" spans="1:6" x14ac:dyDescent="0.25">
      <c r="A254" s="66">
        <v>44050</v>
      </c>
      <c r="B254">
        <v>212.479996</v>
      </c>
      <c r="C254">
        <v>444.45001200000002</v>
      </c>
      <c r="D254">
        <v>1494.48999</v>
      </c>
      <c r="E254">
        <v>3167.459961</v>
      </c>
      <c r="F254">
        <v>124.959999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L32"/>
  <sheetViews>
    <sheetView workbookViewId="0">
      <selection activeCell="D18" sqref="D18:D21"/>
    </sheetView>
  </sheetViews>
  <sheetFormatPr defaultRowHeight="15" x14ac:dyDescent="0.25"/>
  <cols>
    <col min="1" max="1" width="29" bestFit="1" customWidth="1"/>
    <col min="2" max="2" width="13.42578125" bestFit="1" customWidth="1"/>
    <col min="3" max="3" width="17.28515625" bestFit="1" customWidth="1"/>
    <col min="4" max="4" width="21.5703125" bestFit="1" customWidth="1"/>
    <col min="5" max="5" width="16.140625" bestFit="1" customWidth="1"/>
    <col min="6" max="6" width="12" bestFit="1" customWidth="1"/>
    <col min="7" max="7" width="15.7109375" bestFit="1" customWidth="1"/>
    <col min="8" max="9" width="16.140625" bestFit="1" customWidth="1"/>
    <col min="10" max="10" width="16.5703125" customWidth="1"/>
    <col min="11" max="11" width="6" bestFit="1" customWidth="1"/>
    <col min="12" max="12" width="9.85546875" bestFit="1" customWidth="1"/>
    <col min="13" max="13" width="12.28515625" bestFit="1" customWidth="1"/>
    <col min="14" max="14" width="16.42578125" bestFit="1" customWidth="1"/>
    <col min="15" max="15" width="12" bestFit="1" customWidth="1"/>
    <col min="16" max="16" width="8" bestFit="1" customWidth="1"/>
  </cols>
  <sheetData>
    <row r="1" spans="1:12" x14ac:dyDescent="0.25">
      <c r="A1" s="30" t="s">
        <v>177</v>
      </c>
      <c r="B1" s="31">
        <v>44051</v>
      </c>
    </row>
    <row r="2" spans="1:12" x14ac:dyDescent="0.25">
      <c r="A2" s="32"/>
      <c r="B2" s="33"/>
      <c r="E2" t="s">
        <v>178</v>
      </c>
      <c r="H2" t="s">
        <v>179</v>
      </c>
    </row>
    <row r="3" spans="1:12" s="37" customFormat="1" x14ac:dyDescent="0.25">
      <c r="A3" s="34" t="s">
        <v>180</v>
      </c>
      <c r="B3" s="35" t="s">
        <v>388</v>
      </c>
      <c r="C3" s="35" t="s">
        <v>182</v>
      </c>
      <c r="D3" s="35" t="s">
        <v>106</v>
      </c>
      <c r="E3" s="35" t="s">
        <v>183</v>
      </c>
      <c r="F3" s="35" t="s">
        <v>184</v>
      </c>
      <c r="G3" s="35" t="s">
        <v>185</v>
      </c>
      <c r="H3" s="35" t="s">
        <v>186</v>
      </c>
      <c r="I3" s="35" t="s">
        <v>187</v>
      </c>
      <c r="J3" s="36" t="s">
        <v>188</v>
      </c>
    </row>
    <row r="4" spans="1:12" x14ac:dyDescent="0.25">
      <c r="A4" s="38" t="s">
        <v>190</v>
      </c>
      <c r="B4" s="39">
        <v>165.01</v>
      </c>
      <c r="C4" s="44">
        <v>7610</v>
      </c>
      <c r="D4" s="45">
        <v>5.82</v>
      </c>
      <c r="E4" s="42">
        <v>118304</v>
      </c>
      <c r="F4" s="42">
        <v>143015</v>
      </c>
      <c r="G4" s="42">
        <v>60675</v>
      </c>
      <c r="H4" s="43">
        <f>E4/C4</f>
        <v>15.545860709592642</v>
      </c>
      <c r="I4" s="43">
        <f>F4/C4</f>
        <v>18.793035479632064</v>
      </c>
      <c r="J4" s="43">
        <f>G4/C4</f>
        <v>7.9730617608409986</v>
      </c>
    </row>
    <row r="5" spans="1:12" x14ac:dyDescent="0.25">
      <c r="A5" s="38" t="s">
        <v>189</v>
      </c>
      <c r="B5" s="39">
        <v>287.45999999999998</v>
      </c>
      <c r="C5" s="40">
        <v>4617.8339999999998</v>
      </c>
      <c r="D5" s="41">
        <v>11.965783092246278</v>
      </c>
      <c r="E5" s="42">
        <v>90488</v>
      </c>
      <c r="F5" s="42">
        <v>260174</v>
      </c>
      <c r="G5" s="42">
        <v>69391</v>
      </c>
      <c r="H5" s="43">
        <f>E5/C5</f>
        <v>19.59533408953202</v>
      </c>
      <c r="I5" s="43">
        <f>F5/C5</f>
        <v>56.341133094000348</v>
      </c>
      <c r="J5" s="43">
        <f>G5/C5</f>
        <v>15.026741974700693</v>
      </c>
    </row>
    <row r="6" spans="1:12" x14ac:dyDescent="0.25">
      <c r="A6" s="38" t="s">
        <v>191</v>
      </c>
      <c r="B6" s="39">
        <v>1331.8174508577067</v>
      </c>
      <c r="C6" s="44">
        <v>692.6</v>
      </c>
      <c r="D6" s="45">
        <v>49.59</v>
      </c>
      <c r="E6" s="42">
        <v>201442</v>
      </c>
      <c r="F6" s="42">
        <v>161857</v>
      </c>
      <c r="G6" s="42">
        <v>54520</v>
      </c>
      <c r="H6" s="43">
        <f>E6/C6</f>
        <v>290.84897487727403</v>
      </c>
      <c r="I6" s="43">
        <f>F6/C6</f>
        <v>233.69477331793243</v>
      </c>
      <c r="J6" s="43">
        <f>G6/C6</f>
        <v>78.717874675137168</v>
      </c>
    </row>
    <row r="7" spans="1:12" x14ac:dyDescent="0.25">
      <c r="A7" s="46" t="s">
        <v>210</v>
      </c>
      <c r="B7" s="47">
        <v>130.40632435573124</v>
      </c>
      <c r="C7" s="48">
        <v>887.2</v>
      </c>
      <c r="D7" s="49">
        <v>10.63</v>
      </c>
      <c r="E7" s="42">
        <v>20985</v>
      </c>
      <c r="F7" s="42">
        <v>74745</v>
      </c>
      <c r="G7" s="42">
        <v>14770</v>
      </c>
      <c r="H7" s="43">
        <f>E7/C7</f>
        <v>23.653065825067628</v>
      </c>
      <c r="I7" s="43">
        <f>F7/C7</f>
        <v>84.248196573489622</v>
      </c>
      <c r="J7" s="43">
        <f>G7/C7</f>
        <v>16.647880973850313</v>
      </c>
    </row>
    <row r="8" spans="1:12" x14ac:dyDescent="0.25">
      <c r="A8" s="38" t="s">
        <v>211</v>
      </c>
      <c r="B8" s="39">
        <v>2114.3957302252966</v>
      </c>
      <c r="C8" s="44">
        <v>494</v>
      </c>
      <c r="D8" s="45">
        <v>23.46</v>
      </c>
      <c r="E8" s="62">
        <v>62060</v>
      </c>
      <c r="F8" s="62">
        <v>280522</v>
      </c>
      <c r="G8" s="62">
        <v>38514</v>
      </c>
      <c r="H8" s="43">
        <f>E8/C8</f>
        <v>125.62753036437248</v>
      </c>
      <c r="I8" s="43">
        <f>F8/C8</f>
        <v>567.85829959514172</v>
      </c>
      <c r="J8" s="43">
        <f>G8/C8</f>
        <v>77.963562753036442</v>
      </c>
    </row>
    <row r="9" spans="1:12" s="37" customFormat="1" x14ac:dyDescent="0.25"/>
    <row r="10" spans="1:12" s="37" customFormat="1" x14ac:dyDescent="0.25">
      <c r="A10" s="34" t="s">
        <v>192</v>
      </c>
      <c r="B10" s="35" t="s">
        <v>193</v>
      </c>
      <c r="C10" s="35" t="s">
        <v>194</v>
      </c>
      <c r="D10" s="35" t="s">
        <v>195</v>
      </c>
      <c r="E10" s="36" t="s">
        <v>196</v>
      </c>
      <c r="I10" s="37">
        <v>1</v>
      </c>
      <c r="J10" s="37">
        <v>1</v>
      </c>
    </row>
    <row r="11" spans="1:12" x14ac:dyDescent="0.25">
      <c r="A11" s="50" t="s">
        <v>190</v>
      </c>
      <c r="B11" s="51">
        <f>B4/D4</f>
        <v>28.352233676975942</v>
      </c>
      <c r="C11" s="64">
        <f>B4/H4</f>
        <v>10.614401034622666</v>
      </c>
      <c r="D11" s="51">
        <f>B4/I4</f>
        <v>8.7803803796804516</v>
      </c>
      <c r="E11" s="51">
        <f>B4/J4</f>
        <v>20.695939019365472</v>
      </c>
      <c r="H11" s="52"/>
      <c r="I11">
        <v>3</v>
      </c>
      <c r="J11">
        <v>3</v>
      </c>
    </row>
    <row r="12" spans="1:12" x14ac:dyDescent="0.25">
      <c r="A12" s="50" t="s">
        <v>189</v>
      </c>
      <c r="B12" s="51">
        <f>B5/D5</f>
        <v>24.023500825973649</v>
      </c>
      <c r="C12" s="65">
        <f>B5/H5</f>
        <v>14.669818778622577</v>
      </c>
      <c r="D12" s="53">
        <f>B5/I5</f>
        <v>5.10213380906624</v>
      </c>
      <c r="E12" s="51">
        <f>B5/J5</f>
        <v>19.12989525500425</v>
      </c>
      <c r="F12" s="51"/>
      <c r="H12" s="52"/>
      <c r="I12">
        <v>2</v>
      </c>
      <c r="J12">
        <v>2</v>
      </c>
    </row>
    <row r="13" spans="1:12" x14ac:dyDescent="0.25">
      <c r="A13" s="50" t="s">
        <v>191</v>
      </c>
      <c r="B13" s="51">
        <f>B6/D6</f>
        <v>26.856572915057605</v>
      </c>
      <c r="C13" s="63">
        <f>B6/H6</f>
        <v>4.5790687466568425</v>
      </c>
      <c r="D13" s="53">
        <f>B6/I6</f>
        <v>5.698961221720702</v>
      </c>
      <c r="E13" s="51">
        <f>B6/J6</f>
        <v>16.91886952428554</v>
      </c>
      <c r="H13" s="52"/>
      <c r="I13">
        <v>4</v>
      </c>
      <c r="J13">
        <v>100</v>
      </c>
    </row>
    <row r="14" spans="1:12" x14ac:dyDescent="0.25">
      <c r="A14" s="54" t="s">
        <v>210</v>
      </c>
      <c r="B14" s="53">
        <f>B7/D7</f>
        <v>12.267763344847717</v>
      </c>
      <c r="C14" s="63">
        <f>B7/H7</f>
        <v>5.5132947804815231</v>
      </c>
      <c r="D14" s="53">
        <f>B7/I7</f>
        <v>1.5478826806930868</v>
      </c>
      <c r="E14" s="53">
        <f>B7/J7</f>
        <v>7.833208596371346</v>
      </c>
      <c r="H14" s="52"/>
      <c r="I14">
        <f>AVERAGE(I10:I13)</f>
        <v>2.5</v>
      </c>
      <c r="J14">
        <f>AVERAGE(J10:J13)</f>
        <v>26.5</v>
      </c>
      <c r="L14" s="37"/>
    </row>
    <row r="15" spans="1:12" x14ac:dyDescent="0.25">
      <c r="A15" s="50" t="s">
        <v>211</v>
      </c>
      <c r="B15" s="53">
        <f>B8/D8</f>
        <v>90.12769523551988</v>
      </c>
      <c r="C15" s="67">
        <f>B8/H8</f>
        <v>16.830671781039261</v>
      </c>
      <c r="D15" s="53">
        <f>B8/I8</f>
        <v>3.7234565942467843</v>
      </c>
      <c r="E15" s="51">
        <f>B8/J8</f>
        <v>27.120306660728474</v>
      </c>
      <c r="H15" s="52"/>
      <c r="L15" s="37"/>
    </row>
    <row r="17" spans="1:12" s="37" customFormat="1" x14ac:dyDescent="0.25">
      <c r="A17" s="34" t="s">
        <v>197</v>
      </c>
      <c r="B17" s="35" t="s">
        <v>198</v>
      </c>
      <c r="C17" s="35" t="s">
        <v>199</v>
      </c>
      <c r="D17" s="36" t="s">
        <v>212</v>
      </c>
      <c r="E17" s="55" t="s">
        <v>200</v>
      </c>
      <c r="L17"/>
    </row>
    <row r="18" spans="1:12" x14ac:dyDescent="0.25">
      <c r="A18" s="38" t="s">
        <v>391</v>
      </c>
      <c r="B18" s="56">
        <f>AVERAGE(B11:B15)</f>
        <v>36.325553199674957</v>
      </c>
      <c r="C18" s="44" t="s">
        <v>205</v>
      </c>
      <c r="D18" s="57">
        <f>B18*D4</f>
        <v>211.41471962210827</v>
      </c>
      <c r="L18" s="37"/>
    </row>
    <row r="19" spans="1:12" x14ac:dyDescent="0.25">
      <c r="A19" s="38" t="s">
        <v>392</v>
      </c>
      <c r="B19" s="56">
        <f>AVERAGE(C11:C15)</f>
        <v>10.441451024284575</v>
      </c>
      <c r="C19" s="44" t="s">
        <v>217</v>
      </c>
      <c r="D19" s="57">
        <f>B19*H4</f>
        <v>162.32134322956142</v>
      </c>
    </row>
    <row r="20" spans="1:12" x14ac:dyDescent="0.25">
      <c r="A20" s="38" t="s">
        <v>393</v>
      </c>
      <c r="B20" s="56">
        <f>AVERAGE(D11:D15)</f>
        <v>4.9705629370814526</v>
      </c>
      <c r="C20" s="44" t="s">
        <v>201</v>
      </c>
      <c r="D20" s="57">
        <f>B20*I4</f>
        <v>93.411965630315891</v>
      </c>
      <c r="E20" s="23"/>
    </row>
    <row r="21" spans="1:12" x14ac:dyDescent="0.25">
      <c r="A21" s="46" t="s">
        <v>394</v>
      </c>
      <c r="B21" s="56">
        <f>AVERAGE(E11:E15)</f>
        <v>18.339643811151017</v>
      </c>
      <c r="C21" s="44" t="s">
        <v>201</v>
      </c>
      <c r="D21" s="57">
        <f>B21*J4</f>
        <v>146.22311277813245</v>
      </c>
    </row>
    <row r="23" spans="1:12" x14ac:dyDescent="0.25">
      <c r="A23" s="58" t="s">
        <v>202</v>
      </c>
    </row>
    <row r="24" spans="1:12" x14ac:dyDescent="0.25">
      <c r="A24" s="34" t="s">
        <v>197</v>
      </c>
      <c r="B24" s="35" t="s">
        <v>198</v>
      </c>
      <c r="C24" s="35" t="s">
        <v>199</v>
      </c>
      <c r="D24" s="36" t="s">
        <v>212</v>
      </c>
      <c r="F24" s="59" t="s">
        <v>203</v>
      </c>
      <c r="G24" s="35" t="s">
        <v>193</v>
      </c>
      <c r="H24" s="35" t="s">
        <v>194</v>
      </c>
      <c r="I24" s="35" t="s">
        <v>195</v>
      </c>
      <c r="J24" s="36" t="s">
        <v>196</v>
      </c>
    </row>
    <row r="25" spans="1:12" x14ac:dyDescent="0.25">
      <c r="A25" s="38" t="s">
        <v>204</v>
      </c>
      <c r="B25" s="56">
        <f>AVERAGE(B11:B13)</f>
        <v>26.410769139335731</v>
      </c>
      <c r="C25" s="44" t="s">
        <v>201</v>
      </c>
      <c r="D25" s="57">
        <f>B25*D4</f>
        <v>153.71067639093397</v>
      </c>
      <c r="F25" s="60">
        <v>0.75</v>
      </c>
      <c r="G25" s="23">
        <f>B$11*(1+$F$25)</f>
        <v>49.616408934707898</v>
      </c>
      <c r="H25" s="23">
        <f>C$11*(1+$F$25)</f>
        <v>18.575201810589668</v>
      </c>
      <c r="I25" s="23">
        <f>D$11*(1+$F$25)</f>
        <v>15.36566566444079</v>
      </c>
      <c r="J25" s="23">
        <f>E$11*(1+$F$25)</f>
        <v>36.217893283889573</v>
      </c>
    </row>
    <row r="26" spans="1:12" x14ac:dyDescent="0.25">
      <c r="A26" s="38" t="s">
        <v>206</v>
      </c>
      <c r="B26" s="56">
        <f>AVERAGE(C11:C12,C15)</f>
        <v>14.038297198094833</v>
      </c>
      <c r="C26" s="44" t="s">
        <v>205</v>
      </c>
      <c r="D26" s="43">
        <f>B26*H4</f>
        <v>218.23741284144694</v>
      </c>
      <c r="F26" s="61">
        <v>0.25</v>
      </c>
      <c r="G26" s="23">
        <f>B$11*(1-$F$26)</f>
        <v>21.264175257731956</v>
      </c>
      <c r="H26" s="23">
        <f>C$11*(1-$F$26)</f>
        <v>7.9608007759669999</v>
      </c>
      <c r="I26" s="23">
        <f>D$11*(1-$F$26)</f>
        <v>6.5852852847603387</v>
      </c>
      <c r="J26" s="23">
        <f>E$11*(1-$F$26)</f>
        <v>15.521954264524105</v>
      </c>
    </row>
    <row r="27" spans="1:12" x14ac:dyDescent="0.25">
      <c r="A27" s="38" t="s">
        <v>208</v>
      </c>
      <c r="B27" s="56">
        <f>D11</f>
        <v>8.7803803796804516</v>
      </c>
      <c r="C27" s="44" t="s">
        <v>207</v>
      </c>
      <c r="D27" s="57">
        <f>B27*I4</f>
        <v>165.00999999999996</v>
      </c>
    </row>
    <row r="28" spans="1:12" x14ac:dyDescent="0.25">
      <c r="A28" s="46" t="s">
        <v>209</v>
      </c>
      <c r="B28" s="56">
        <f>AVERAGE(E11:E13,E15)</f>
        <v>20.966252614845935</v>
      </c>
      <c r="C28" s="44" t="s">
        <v>205</v>
      </c>
      <c r="D28" s="57">
        <f>B28*J4</f>
        <v>167.16522699156073</v>
      </c>
      <c r="E28" s="23"/>
    </row>
    <row r="29" spans="1:12" x14ac:dyDescent="0.25">
      <c r="E29" s="23"/>
    </row>
    <row r="30" spans="1:12" x14ac:dyDescent="0.25">
      <c r="E30" s="23"/>
    </row>
    <row r="31" spans="1:12" x14ac:dyDescent="0.25">
      <c r="E31" s="23"/>
    </row>
    <row r="32" spans="1:12" x14ac:dyDescent="0.25">
      <c r="E32" s="2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R36"/>
  <sheetViews>
    <sheetView workbookViewId="0">
      <selection activeCell="I11" sqref="I11"/>
    </sheetView>
  </sheetViews>
  <sheetFormatPr defaultRowHeight="15" x14ac:dyDescent="0.25"/>
  <cols>
    <col min="1" max="1" width="29" bestFit="1" customWidth="1"/>
    <col min="2" max="2" width="13.42578125" bestFit="1" customWidth="1"/>
    <col min="3" max="3" width="13.5703125" bestFit="1" customWidth="1"/>
    <col min="4" max="4" width="21.5703125" bestFit="1" customWidth="1"/>
    <col min="5" max="5" width="16.140625" bestFit="1" customWidth="1"/>
    <col min="6" max="6" width="12" bestFit="1" customWidth="1"/>
    <col min="7" max="7" width="15.7109375" bestFit="1" customWidth="1"/>
    <col min="8" max="8" width="16.140625" bestFit="1" customWidth="1"/>
    <col min="9" max="9" width="10.28515625" bestFit="1" customWidth="1"/>
    <col min="10" max="10" width="16.5703125" customWidth="1"/>
    <col min="11" max="11" width="6" style="69" bestFit="1" customWidth="1"/>
    <col min="12" max="12" width="9.85546875" bestFit="1" customWidth="1"/>
    <col min="13" max="13" width="12.28515625" bestFit="1" customWidth="1"/>
    <col min="14" max="14" width="16.42578125" bestFit="1" customWidth="1"/>
    <col min="15" max="15" width="12" bestFit="1" customWidth="1"/>
    <col min="16" max="16" width="15.85546875" bestFit="1" customWidth="1"/>
    <col min="17" max="17" width="16.28515625" bestFit="1" customWidth="1"/>
    <col min="18" max="18" width="10.5703125" bestFit="1" customWidth="1"/>
  </cols>
  <sheetData>
    <row r="1" spans="1:18" x14ac:dyDescent="0.25">
      <c r="A1" s="30" t="s">
        <v>177</v>
      </c>
      <c r="B1" s="31">
        <v>44051</v>
      </c>
      <c r="H1" s="259"/>
      <c r="I1" s="259"/>
    </row>
    <row r="2" spans="1:18" ht="15.75" thickBot="1" x14ac:dyDescent="0.3">
      <c r="A2" s="32"/>
      <c r="B2" s="33"/>
      <c r="H2" s="264"/>
      <c r="I2" s="264"/>
    </row>
    <row r="3" spans="1:18" s="37" customFormat="1" x14ac:dyDescent="0.25">
      <c r="A3" s="84" t="s">
        <v>180</v>
      </c>
      <c r="B3" s="85" t="s">
        <v>181</v>
      </c>
      <c r="C3" s="85" t="s">
        <v>182</v>
      </c>
      <c r="D3" s="85" t="s">
        <v>218</v>
      </c>
      <c r="E3" s="85" t="s">
        <v>219</v>
      </c>
      <c r="F3" s="85" t="s">
        <v>220</v>
      </c>
      <c r="G3" s="85" t="s">
        <v>221</v>
      </c>
      <c r="H3" s="85" t="s">
        <v>222</v>
      </c>
      <c r="I3" s="85" t="s">
        <v>223</v>
      </c>
      <c r="J3" s="86" t="s">
        <v>185</v>
      </c>
      <c r="K3" s="87"/>
      <c r="L3" s="88" t="s">
        <v>106</v>
      </c>
      <c r="M3" s="89" t="s">
        <v>183</v>
      </c>
      <c r="N3" s="89" t="s">
        <v>184</v>
      </c>
      <c r="O3" s="85" t="s">
        <v>185</v>
      </c>
      <c r="P3" s="85" t="s">
        <v>186</v>
      </c>
      <c r="Q3" s="85" t="s">
        <v>187</v>
      </c>
      <c r="R3" s="90" t="s">
        <v>188</v>
      </c>
    </row>
    <row r="4" spans="1:18" x14ac:dyDescent="0.25">
      <c r="A4" s="91" t="s">
        <v>190</v>
      </c>
      <c r="B4" s="39">
        <v>212.479996</v>
      </c>
      <c r="C4" s="44">
        <v>7610</v>
      </c>
      <c r="D4" s="71">
        <f>B4*C4</f>
        <v>1616972.7695599999</v>
      </c>
      <c r="E4" s="52">
        <v>59578</v>
      </c>
      <c r="F4" s="52">
        <v>13576</v>
      </c>
      <c r="G4" s="71">
        <f>D4+E4-F4</f>
        <v>1662974.7695599999</v>
      </c>
      <c r="H4" s="52">
        <v>52959</v>
      </c>
      <c r="I4" s="92">
        <v>143015</v>
      </c>
      <c r="J4" s="72">
        <v>60675</v>
      </c>
      <c r="L4" s="50">
        <v>5.82</v>
      </c>
      <c r="M4" s="71">
        <v>118304</v>
      </c>
      <c r="N4" s="71">
        <v>143015</v>
      </c>
      <c r="O4" s="71">
        <v>60675</v>
      </c>
      <c r="P4" s="43">
        <f>M4/C4</f>
        <v>15.545860709592642</v>
      </c>
      <c r="Q4" s="43">
        <f>N4/C4</f>
        <v>18.793035479632064</v>
      </c>
      <c r="R4" s="93">
        <f>O4/C4</f>
        <v>7.9730617608409986</v>
      </c>
    </row>
    <row r="5" spans="1:18" x14ac:dyDescent="0.25">
      <c r="A5" s="91" t="s">
        <v>189</v>
      </c>
      <c r="B5" s="39">
        <v>444.45001200000002</v>
      </c>
      <c r="C5" s="40">
        <v>4617.8339999999998</v>
      </c>
      <c r="D5" s="71">
        <f>B5*C5</f>
        <v>2052396.3767140079</v>
      </c>
      <c r="E5" s="71">
        <v>91807</v>
      </c>
      <c r="F5" s="71">
        <v>48844</v>
      </c>
      <c r="G5" s="71">
        <f>D5+E5-F5</f>
        <v>2095359.3767140079</v>
      </c>
      <c r="H5" s="71">
        <v>63930</v>
      </c>
      <c r="I5" s="92">
        <v>260174</v>
      </c>
      <c r="J5" s="72">
        <v>69391</v>
      </c>
      <c r="K5" s="94"/>
      <c r="L5" s="73">
        <v>11.97</v>
      </c>
      <c r="M5" s="71">
        <v>90488</v>
      </c>
      <c r="N5" s="71">
        <v>260174</v>
      </c>
      <c r="O5" s="71">
        <v>69391</v>
      </c>
      <c r="P5" s="43">
        <f>M5/C5</f>
        <v>19.59533408953202</v>
      </c>
      <c r="Q5" s="43">
        <f>N5/C5</f>
        <v>56.341133094000348</v>
      </c>
      <c r="R5" s="93">
        <f>O5/C5</f>
        <v>15.026741974700693</v>
      </c>
    </row>
    <row r="6" spans="1:18" x14ac:dyDescent="0.25">
      <c r="A6" s="91" t="s">
        <v>191</v>
      </c>
      <c r="B6" s="39">
        <v>1494.48999</v>
      </c>
      <c r="C6" s="44">
        <v>692.6</v>
      </c>
      <c r="D6" s="71">
        <f>B6*C6</f>
        <v>1035083.7670740001</v>
      </c>
      <c r="E6" s="52">
        <v>4012</v>
      </c>
      <c r="F6" s="52">
        <v>16701</v>
      </c>
      <c r="G6" s="71">
        <f>D6+E6-F6</f>
        <v>1022394.7670740001</v>
      </c>
      <c r="H6" s="52">
        <v>36482</v>
      </c>
      <c r="I6" s="92">
        <v>136819</v>
      </c>
      <c r="J6" s="72">
        <v>47971</v>
      </c>
      <c r="L6" s="50">
        <v>44.22</v>
      </c>
      <c r="M6" s="71">
        <v>201442</v>
      </c>
      <c r="N6" s="71">
        <v>161857</v>
      </c>
      <c r="O6" s="71">
        <v>54520</v>
      </c>
      <c r="P6" s="43">
        <f>M6/C6</f>
        <v>290.84897487727403</v>
      </c>
      <c r="Q6" s="43">
        <f>N6/C6</f>
        <v>233.69477331793243</v>
      </c>
      <c r="R6" s="93">
        <f>O6/C6</f>
        <v>78.717874675137168</v>
      </c>
    </row>
    <row r="7" spans="1:18" x14ac:dyDescent="0.25">
      <c r="A7" s="95" t="s">
        <v>210</v>
      </c>
      <c r="B7" s="47">
        <v>124.959999</v>
      </c>
      <c r="C7" s="48">
        <v>887.2</v>
      </c>
      <c r="D7" s="71">
        <f>B7*C7</f>
        <v>110864.5111128</v>
      </c>
      <c r="E7" s="74">
        <v>53950</v>
      </c>
      <c r="F7" s="74">
        <v>8172</v>
      </c>
      <c r="G7" s="71">
        <f>D7+E7-F7</f>
        <v>156642.51111279998</v>
      </c>
      <c r="H7" s="74">
        <v>10785</v>
      </c>
      <c r="I7" s="75">
        <v>75745</v>
      </c>
      <c r="J7" s="76">
        <v>14770</v>
      </c>
      <c r="L7" s="54">
        <v>10.63</v>
      </c>
      <c r="M7" s="71">
        <v>20985</v>
      </c>
      <c r="N7" s="71">
        <v>75745</v>
      </c>
      <c r="O7" s="71">
        <v>14770</v>
      </c>
      <c r="P7" s="43">
        <f>M7/C7</f>
        <v>23.653065825067628</v>
      </c>
      <c r="Q7" s="43">
        <f>N7/C7</f>
        <v>85.375338142470696</v>
      </c>
      <c r="R7" s="93">
        <f>O7/C7</f>
        <v>16.647880973850313</v>
      </c>
    </row>
    <row r="8" spans="1:18" ht="15.75" thickBot="1" x14ac:dyDescent="0.3">
      <c r="A8" s="96" t="s">
        <v>211</v>
      </c>
      <c r="B8" s="97">
        <v>3167.459961</v>
      </c>
      <c r="C8" s="98">
        <v>494</v>
      </c>
      <c r="D8" s="99">
        <f>B8*C8</f>
        <v>1564725.220734</v>
      </c>
      <c r="E8" s="100">
        <v>23414</v>
      </c>
      <c r="F8" s="100">
        <v>36092</v>
      </c>
      <c r="G8" s="99">
        <f>D8+E8-F8</f>
        <v>1552047.220734</v>
      </c>
      <c r="H8" s="100">
        <v>14404</v>
      </c>
      <c r="I8" s="101">
        <v>280522</v>
      </c>
      <c r="J8" s="102">
        <v>38514</v>
      </c>
      <c r="K8" s="103"/>
      <c r="L8" s="104">
        <v>23.46</v>
      </c>
      <c r="M8" s="105">
        <v>62060</v>
      </c>
      <c r="N8" s="105">
        <v>280522</v>
      </c>
      <c r="O8" s="105">
        <v>38514</v>
      </c>
      <c r="P8" s="106">
        <f>M8/C8</f>
        <v>125.62753036437248</v>
      </c>
      <c r="Q8" s="106">
        <f>N8/C8</f>
        <v>567.85829959514172</v>
      </c>
      <c r="R8" s="107">
        <f>O8/C8</f>
        <v>77.963562753036442</v>
      </c>
    </row>
    <row r="9" spans="1:18" s="37" customFormat="1" ht="15.75" thickBot="1" x14ac:dyDescent="0.3">
      <c r="K9" s="70"/>
    </row>
    <row r="10" spans="1:18" s="37" customFormat="1" x14ac:dyDescent="0.25">
      <c r="A10" s="84" t="s">
        <v>224</v>
      </c>
      <c r="B10" s="85" t="s">
        <v>225</v>
      </c>
      <c r="C10" s="85" t="s">
        <v>226</v>
      </c>
      <c r="D10" s="85" t="s">
        <v>227</v>
      </c>
      <c r="E10" s="90" t="s">
        <v>228</v>
      </c>
      <c r="G10" s="52"/>
      <c r="K10" s="70"/>
    </row>
    <row r="11" spans="1:18" x14ac:dyDescent="0.25">
      <c r="A11" s="91" t="s">
        <v>190</v>
      </c>
      <c r="B11" s="77">
        <f>G4/H4</f>
        <v>31.401173918691818</v>
      </c>
      <c r="C11" s="78">
        <f>G4/I4</f>
        <v>11.627974475124986</v>
      </c>
      <c r="D11" s="78">
        <f>G4/J4</f>
        <v>27.407907203296251</v>
      </c>
      <c r="E11" s="108">
        <f>G4/M4</f>
        <v>14.056792412428996</v>
      </c>
      <c r="G11" s="52"/>
    </row>
    <row r="12" spans="1:18" x14ac:dyDescent="0.25">
      <c r="A12" s="91" t="s">
        <v>189</v>
      </c>
      <c r="B12" s="77">
        <f>G5/H5</f>
        <v>32.775838834882023</v>
      </c>
      <c r="C12" s="78">
        <f>G5/I5</f>
        <v>8.0536847521812636</v>
      </c>
      <c r="D12" s="78">
        <f>G5/J5</f>
        <v>30.19641418503852</v>
      </c>
      <c r="E12" s="108">
        <f>G5/M5</f>
        <v>23.156212721178587</v>
      </c>
      <c r="G12" s="52"/>
    </row>
    <row r="13" spans="1:18" x14ac:dyDescent="0.25">
      <c r="A13" s="91" t="s">
        <v>216</v>
      </c>
      <c r="B13" s="77">
        <f>G6/H6</f>
        <v>28.024635904665317</v>
      </c>
      <c r="C13" s="78">
        <f>G6/I6</f>
        <v>7.4726080959077326</v>
      </c>
      <c r="D13" s="78">
        <f>G6/J6</f>
        <v>21.312767444372643</v>
      </c>
      <c r="E13" s="108">
        <f>G6/M6</f>
        <v>5.0753803430962767</v>
      </c>
      <c r="G13" s="52"/>
    </row>
    <row r="14" spans="1:18" x14ac:dyDescent="0.25">
      <c r="A14" s="95" t="s">
        <v>210</v>
      </c>
      <c r="B14" s="77">
        <f>G7/H7</f>
        <v>14.524108587185905</v>
      </c>
      <c r="C14" s="78">
        <f>G7/I7</f>
        <v>2.0680244387457916</v>
      </c>
      <c r="D14" s="78">
        <f>G7/J7</f>
        <v>10.605450989356804</v>
      </c>
      <c r="E14" s="108">
        <f>G7/M7</f>
        <v>7.4644989808339286</v>
      </c>
      <c r="L14" s="37"/>
    </row>
    <row r="15" spans="1:18" ht="15.75" thickBot="1" x14ac:dyDescent="0.3">
      <c r="A15" s="96" t="s">
        <v>211</v>
      </c>
      <c r="B15" s="109">
        <f>G8/H8</f>
        <v>107.75112612704804</v>
      </c>
      <c r="C15" s="110">
        <f>G8/I8</f>
        <v>5.5327112338212334</v>
      </c>
      <c r="D15" s="110">
        <f>G8/J8</f>
        <v>40.298260911201119</v>
      </c>
      <c r="E15" s="111">
        <f>G8/M8</f>
        <v>25.008817607702223</v>
      </c>
      <c r="L15" s="37"/>
    </row>
    <row r="16" spans="1:18" ht="15.75" thickBot="1" x14ac:dyDescent="0.3"/>
    <row r="17" spans="1:12" s="37" customFormat="1" x14ac:dyDescent="0.25">
      <c r="A17" s="84" t="s">
        <v>197</v>
      </c>
      <c r="B17" s="85" t="s">
        <v>198</v>
      </c>
      <c r="C17" s="85" t="s">
        <v>199</v>
      </c>
      <c r="D17" s="90" t="s">
        <v>212</v>
      </c>
      <c r="K17" s="70"/>
      <c r="L17"/>
    </row>
    <row r="18" spans="1:12" x14ac:dyDescent="0.25">
      <c r="A18" s="91" t="s">
        <v>225</v>
      </c>
      <c r="B18" s="77">
        <f>AVERAGE(B11:B15)</f>
        <v>42.895376674494621</v>
      </c>
      <c r="C18" s="79" t="s">
        <v>205</v>
      </c>
      <c r="D18" s="112">
        <f>(B18*H4-$E$4+$F$4)/$C$4</f>
        <v>292.46967848942978</v>
      </c>
      <c r="L18" s="37"/>
    </row>
    <row r="19" spans="1:12" x14ac:dyDescent="0.25">
      <c r="A19" s="91" t="s">
        <v>226</v>
      </c>
      <c r="B19" s="80">
        <f>AVERAGE(C11:C15)</f>
        <v>6.9510005991562007</v>
      </c>
      <c r="C19" s="44" t="s">
        <v>201</v>
      </c>
      <c r="D19" s="112">
        <f>(B19*I4-E4+F4)/C4</f>
        <v>124.58546001160632</v>
      </c>
    </row>
    <row r="20" spans="1:12" x14ac:dyDescent="0.25">
      <c r="A20" s="91" t="s">
        <v>227</v>
      </c>
      <c r="B20" s="80">
        <f>AVERAGE(D11:D15)</f>
        <v>25.964160146653064</v>
      </c>
      <c r="C20" s="44" t="s">
        <v>201</v>
      </c>
      <c r="D20" s="112">
        <f>(B20*J4-E4+F4)/C4</f>
        <v>200.96891155035146</v>
      </c>
      <c r="J20" s="37"/>
    </row>
    <row r="21" spans="1:12" ht="15.75" thickBot="1" x14ac:dyDescent="0.3">
      <c r="A21" s="96" t="s">
        <v>228</v>
      </c>
      <c r="B21" s="113">
        <f>AVERAGE(E11:E14)</f>
        <v>12.438221114384447</v>
      </c>
      <c r="C21" s="98" t="s">
        <v>201</v>
      </c>
      <c r="D21" s="114">
        <f>(B21*M4-E4+F4)/C4</f>
        <v>187.31791205205491</v>
      </c>
    </row>
    <row r="23" spans="1:12" ht="15.75" thickBot="1" x14ac:dyDescent="0.3">
      <c r="A23" s="81"/>
      <c r="B23" s="81"/>
      <c r="C23" s="81"/>
      <c r="D23" s="81"/>
      <c r="E23" s="81"/>
      <c r="F23" s="81"/>
      <c r="G23" s="81"/>
      <c r="H23" s="81"/>
      <c r="I23" s="81"/>
      <c r="J23" s="81"/>
      <c r="K23" s="81"/>
    </row>
    <row r="24" spans="1:12" x14ac:dyDescent="0.25">
      <c r="A24" s="84" t="s">
        <v>224</v>
      </c>
      <c r="B24" s="85" t="s">
        <v>225</v>
      </c>
      <c r="C24" s="85" t="s">
        <v>226</v>
      </c>
      <c r="D24" s="85" t="s">
        <v>227</v>
      </c>
      <c r="E24" s="90" t="s">
        <v>228</v>
      </c>
    </row>
    <row r="25" spans="1:12" x14ac:dyDescent="0.25">
      <c r="A25" s="91" t="s">
        <v>190</v>
      </c>
      <c r="B25" s="77">
        <v>31.401173918691818</v>
      </c>
      <c r="C25" s="78">
        <v>11.627974475124986</v>
      </c>
      <c r="D25" s="78">
        <v>27.407907203296251</v>
      </c>
      <c r="E25" s="108">
        <v>14.056792412428996</v>
      </c>
    </row>
    <row r="26" spans="1:12" x14ac:dyDescent="0.25">
      <c r="A26" s="91" t="s">
        <v>189</v>
      </c>
      <c r="B26" s="77">
        <v>32.775838834882023</v>
      </c>
      <c r="C26" s="83">
        <v>8.0536847521812636</v>
      </c>
      <c r="D26" s="78">
        <v>30.19641418503852</v>
      </c>
      <c r="E26" s="108">
        <v>23.156212721178587</v>
      </c>
    </row>
    <row r="27" spans="1:12" x14ac:dyDescent="0.25">
      <c r="A27" s="91" t="s">
        <v>216</v>
      </c>
      <c r="B27" s="77">
        <v>28.024635904665317</v>
      </c>
      <c r="C27" s="83">
        <v>7.4726080959077326</v>
      </c>
      <c r="D27" s="78">
        <v>21.312767444372643</v>
      </c>
      <c r="E27" s="120">
        <v>5.0753803430962767</v>
      </c>
    </row>
    <row r="28" spans="1:12" x14ac:dyDescent="0.25">
      <c r="A28" s="95" t="s">
        <v>210</v>
      </c>
      <c r="B28" s="82">
        <v>14.524108587185905</v>
      </c>
      <c r="C28" s="83">
        <v>2.0680244387457916</v>
      </c>
      <c r="D28" s="83">
        <v>10.605450989356804</v>
      </c>
      <c r="E28" s="120">
        <v>7.4644989808339286</v>
      </c>
    </row>
    <row r="29" spans="1:12" ht="15.75" thickBot="1" x14ac:dyDescent="0.3">
      <c r="A29" s="96" t="s">
        <v>211</v>
      </c>
      <c r="B29" s="118">
        <v>107.75112612704804</v>
      </c>
      <c r="C29" s="119">
        <v>5.5327112338212334</v>
      </c>
      <c r="D29" s="110">
        <v>40.298260911201119</v>
      </c>
      <c r="E29" s="111">
        <v>25.008817607702223</v>
      </c>
    </row>
    <row r="31" spans="1:12" ht="15.75" thickBot="1" x14ac:dyDescent="0.3">
      <c r="A31" s="58" t="s">
        <v>202</v>
      </c>
    </row>
    <row r="32" spans="1:12" ht="15.75" thickBot="1" x14ac:dyDescent="0.3">
      <c r="A32" s="84" t="s">
        <v>197</v>
      </c>
      <c r="B32" s="85" t="s">
        <v>198</v>
      </c>
      <c r="C32" s="85" t="s">
        <v>199</v>
      </c>
      <c r="D32" s="90" t="s">
        <v>212</v>
      </c>
    </row>
    <row r="33" spans="1:10" x14ac:dyDescent="0.25">
      <c r="A33" s="91" t="s">
        <v>229</v>
      </c>
      <c r="B33" s="77">
        <f>AVERAGE(B25:B27)</f>
        <v>30.733882886079723</v>
      </c>
      <c r="C33" s="121" t="s">
        <v>217</v>
      </c>
      <c r="D33" s="112">
        <f>(B33*H4-E4+F4)/C4</f>
        <v>207.83622914111643</v>
      </c>
      <c r="F33" s="115" t="s">
        <v>230</v>
      </c>
      <c r="G33" s="85" t="s">
        <v>225</v>
      </c>
      <c r="H33" s="85" t="s">
        <v>226</v>
      </c>
      <c r="I33" s="85" t="s">
        <v>227</v>
      </c>
      <c r="J33" s="90" t="s">
        <v>228</v>
      </c>
    </row>
    <row r="34" spans="1:10" x14ac:dyDescent="0.25">
      <c r="A34" s="91" t="s">
        <v>231</v>
      </c>
      <c r="B34" s="80">
        <f>AVERAGE(C25)</f>
        <v>11.627974475124986</v>
      </c>
      <c r="C34" s="44" t="s">
        <v>234</v>
      </c>
      <c r="D34" s="112">
        <f>(B34*I4-$E$4+$F$4)/$C$4</f>
        <v>212.479996</v>
      </c>
      <c r="F34" s="116">
        <v>0.75</v>
      </c>
      <c r="G34" s="43">
        <f>B25*(1+$F$34)</f>
        <v>54.952054357710679</v>
      </c>
      <c r="H34" s="43">
        <f>C25*(1+$F$34)</f>
        <v>20.348955331468726</v>
      </c>
      <c r="I34" s="43">
        <f>D25*(1+$F$34)</f>
        <v>47.96383760576844</v>
      </c>
      <c r="J34" s="93">
        <f>E25*(1+$F$34)</f>
        <v>24.599386721750744</v>
      </c>
    </row>
    <row r="35" spans="1:10" ht="15.75" thickBot="1" x14ac:dyDescent="0.3">
      <c r="A35" s="91" t="s">
        <v>232</v>
      </c>
      <c r="B35" s="80">
        <f>AVERAGE(D25:D27,D29)</f>
        <v>29.80383743597713</v>
      </c>
      <c r="C35" s="44" t="s">
        <v>205</v>
      </c>
      <c r="D35" s="112">
        <f>(B35*J4-$E$4+$F$4)/$C$4</f>
        <v>231.58289571983079</v>
      </c>
      <c r="F35" s="117">
        <v>0.25</v>
      </c>
      <c r="G35" s="106">
        <f>B25*(1-$F$35)</f>
        <v>23.550880439018862</v>
      </c>
      <c r="H35" s="106">
        <f>C25*(1-$F$35)</f>
        <v>8.7209808563437399</v>
      </c>
      <c r="I35" s="106">
        <f>D25*(1-$F$35)</f>
        <v>20.555930402472189</v>
      </c>
      <c r="J35" s="106">
        <f>E25*(1-$F$35)</f>
        <v>10.542594309321746</v>
      </c>
    </row>
    <row r="36" spans="1:10" ht="15.75" thickBot="1" x14ac:dyDescent="0.3">
      <c r="A36" s="96" t="s">
        <v>233</v>
      </c>
      <c r="B36" s="113">
        <f>AVERAGE(E25:E26,E29)</f>
        <v>20.740607580436603</v>
      </c>
      <c r="C36" s="98" t="s">
        <v>205</v>
      </c>
      <c r="D36" s="114">
        <f>(B36*M4-$E$4+$F$4)/$C$4</f>
        <v>316.38565561050876</v>
      </c>
      <c r="E36" s="23"/>
    </row>
  </sheetData>
  <mergeCells count="1">
    <mergeCell ref="H1:I2"/>
  </mergeCells>
  <pageMargins left="0.7" right="0.7" top="0.75" bottom="0.75" header="0.3" footer="0.3"/>
  <drawing r:id="rId1"/>
  <legacy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B1:AC40"/>
  <sheetViews>
    <sheetView workbookViewId="0">
      <selection activeCell="N11" sqref="N11"/>
    </sheetView>
  </sheetViews>
  <sheetFormatPr defaultRowHeight="15" x14ac:dyDescent="0.25"/>
  <cols>
    <col min="2" max="2" width="7.5703125" customWidth="1"/>
    <col min="3" max="3" width="18.28515625" customWidth="1"/>
    <col min="8" max="8" width="29.42578125" customWidth="1"/>
    <col min="9" max="9" width="14.7109375" customWidth="1"/>
    <col min="11" max="11" width="29.42578125" customWidth="1"/>
    <col min="12" max="12" width="13.85546875" customWidth="1"/>
    <col min="13" max="14" width="13.5703125" bestFit="1" customWidth="1"/>
    <col min="15" max="15" width="22.42578125" bestFit="1" customWidth="1"/>
    <col min="16" max="16" width="22.140625" bestFit="1" customWidth="1"/>
    <col min="17" max="17" width="10.7109375" customWidth="1"/>
    <col min="18" max="25" width="10.5703125" bestFit="1" customWidth="1"/>
  </cols>
  <sheetData>
    <row r="1" spans="2:13" x14ac:dyDescent="0.25">
      <c r="L1" s="259"/>
      <c r="M1" s="259"/>
    </row>
    <row r="2" spans="2:13" ht="21" x14ac:dyDescent="0.35">
      <c r="H2" s="265" t="s">
        <v>319</v>
      </c>
      <c r="I2" s="265"/>
      <c r="J2" s="265"/>
      <c r="L2" s="259"/>
      <c r="M2" s="259"/>
    </row>
    <row r="5" spans="2:13" x14ac:dyDescent="0.25">
      <c r="C5" t="s">
        <v>320</v>
      </c>
      <c r="H5" t="s">
        <v>346</v>
      </c>
      <c r="K5" t="s">
        <v>355</v>
      </c>
    </row>
    <row r="6" spans="2:13" x14ac:dyDescent="0.25">
      <c r="C6" s="167" t="s">
        <v>97</v>
      </c>
      <c r="D6" s="167">
        <v>2021</v>
      </c>
      <c r="E6" s="167">
        <f>D6+1</f>
        <v>2022</v>
      </c>
      <c r="F6" s="167">
        <f>E6+1</f>
        <v>2023</v>
      </c>
      <c r="H6" s="167" t="s">
        <v>347</v>
      </c>
      <c r="I6" s="167" t="s">
        <v>348</v>
      </c>
      <c r="K6" s="167" t="s">
        <v>347</v>
      </c>
      <c r="L6" s="167" t="s">
        <v>356</v>
      </c>
    </row>
    <row r="7" spans="2:13" x14ac:dyDescent="0.25">
      <c r="C7" s="166" t="s">
        <v>222</v>
      </c>
      <c r="D7" s="169">
        <f>IS!F11</f>
        <v>57506.227864371001</v>
      </c>
      <c r="E7" s="169">
        <f>IS!G11</f>
        <v>62443.895148869131</v>
      </c>
      <c r="F7" s="169">
        <f>IS!H11</f>
        <v>67805.526221600841</v>
      </c>
      <c r="H7" s="165" t="s">
        <v>349</v>
      </c>
      <c r="I7" s="187">
        <v>6.7000000000000002E-3</v>
      </c>
      <c r="K7" s="165" t="s">
        <v>349</v>
      </c>
      <c r="L7" s="189">
        <f>I7</f>
        <v>6.7000000000000002E-3</v>
      </c>
    </row>
    <row r="8" spans="2:13" x14ac:dyDescent="0.25">
      <c r="C8" s="166" t="s">
        <v>321</v>
      </c>
      <c r="D8" s="169">
        <f>IS!F15</f>
        <v>12093.866259051414</v>
      </c>
      <c r="E8" s="169">
        <f>IS!G15</f>
        <v>13132.284009408011</v>
      </c>
      <c r="F8" s="169">
        <f>IS!H15</f>
        <v>14259.863604385517</v>
      </c>
      <c r="H8" s="165" t="s">
        <v>344</v>
      </c>
      <c r="I8" s="165">
        <f>L19</f>
        <v>1.0199999999999998</v>
      </c>
      <c r="K8" s="165" t="s">
        <v>344</v>
      </c>
      <c r="L8" s="165">
        <v>1</v>
      </c>
      <c r="M8" t="s">
        <v>357</v>
      </c>
    </row>
    <row r="9" spans="2:13" x14ac:dyDescent="0.25">
      <c r="C9" s="168" t="s">
        <v>322</v>
      </c>
      <c r="D9" s="170">
        <f>D7-D8</f>
        <v>45412.361605319587</v>
      </c>
      <c r="E9" s="170">
        <f>E7-E8</f>
        <v>49311.611139461122</v>
      </c>
      <c r="F9" s="170">
        <f>F7-F8</f>
        <v>53545.662617215326</v>
      </c>
      <c r="H9" s="165" t="s">
        <v>350</v>
      </c>
      <c r="I9" s="187">
        <v>5.2299999999999999E-2</v>
      </c>
      <c r="K9" s="165" t="s">
        <v>350</v>
      </c>
      <c r="L9" s="189">
        <f>I9</f>
        <v>5.2299999999999999E-2</v>
      </c>
    </row>
    <row r="10" spans="2:13" x14ac:dyDescent="0.25">
      <c r="C10" s="166" t="s">
        <v>323</v>
      </c>
      <c r="D10" s="169">
        <f>CFS!F7</f>
        <v>13894.705182357888</v>
      </c>
      <c r="E10" s="169">
        <f>CFS!G7</f>
        <v>15087.748679637632</v>
      </c>
      <c r="F10" s="169">
        <f>CFS!H7</f>
        <v>16383.230679046139</v>
      </c>
      <c r="H10" s="168" t="s">
        <v>348</v>
      </c>
      <c r="I10" s="188">
        <f>I7+I8*I9</f>
        <v>6.0045999999999988E-2</v>
      </c>
      <c r="K10" s="168" t="s">
        <v>348</v>
      </c>
      <c r="L10" s="188">
        <f>L7+L8*L9</f>
        <v>5.8999999999999997E-2</v>
      </c>
    </row>
    <row r="11" spans="2:13" x14ac:dyDescent="0.25">
      <c r="C11" s="166" t="s">
        <v>324</v>
      </c>
      <c r="D11" s="169">
        <f>CFS!F33</f>
        <v>-7499.9765761641756</v>
      </c>
      <c r="E11" s="169">
        <f>CFS!G33</f>
        <v>-8143.9483745226025</v>
      </c>
      <c r="F11" s="169">
        <f>CFS!H33</f>
        <v>-8843.2136358498246</v>
      </c>
    </row>
    <row r="12" spans="2:13" x14ac:dyDescent="0.25">
      <c r="C12" s="166" t="s">
        <v>325</v>
      </c>
      <c r="D12" s="169">
        <f>SUM(CFS!F12:F20)</f>
        <v>-1637.1441994648676</v>
      </c>
      <c r="E12" s="169">
        <f>SUM(CFS!G12:G20)</f>
        <v>2056.3247874015042</v>
      </c>
      <c r="F12" s="169">
        <f>SUM(CFS!H12:H20)</f>
        <v>2232.8873616848045</v>
      </c>
      <c r="H12" s="167" t="s">
        <v>330</v>
      </c>
      <c r="I12" s="167"/>
      <c r="K12" s="167" t="s">
        <v>358</v>
      </c>
      <c r="L12" s="167" t="s">
        <v>344</v>
      </c>
    </row>
    <row r="13" spans="2:13" x14ac:dyDescent="0.25">
      <c r="B13" t="s">
        <v>330</v>
      </c>
      <c r="C13" s="168" t="s">
        <v>326</v>
      </c>
      <c r="D13" s="170">
        <f>SUM(D9:D12)</f>
        <v>50169.946012048429</v>
      </c>
      <c r="E13" s="170">
        <f>SUM(E9:E12)</f>
        <v>58311.736231977658</v>
      </c>
      <c r="F13" s="170">
        <f>SUM(F9:F12)</f>
        <v>63318.567022096446</v>
      </c>
      <c r="H13" s="165" t="s">
        <v>351</v>
      </c>
      <c r="I13" s="187">
        <f>BS!E38/SUM(BS!E27,BS!E38)</f>
        <v>0.66507010265232003</v>
      </c>
      <c r="K13" s="165" t="s">
        <v>359</v>
      </c>
      <c r="L13" s="165">
        <v>0.89</v>
      </c>
    </row>
    <row r="14" spans="2:13" x14ac:dyDescent="0.25">
      <c r="C14" s="166" t="s">
        <v>327</v>
      </c>
      <c r="D14" s="169">
        <f>CS_1!F86</f>
        <v>-2813.4714854242952</v>
      </c>
      <c r="E14" s="169">
        <f>CS_1!G86</f>
        <v>-3055.0450788481635</v>
      </c>
      <c r="F14" s="169">
        <f>CS_1!H86</f>
        <v>-3317.3609479062629</v>
      </c>
      <c r="H14" s="165" t="s">
        <v>348</v>
      </c>
      <c r="I14" s="189">
        <f>I10</f>
        <v>6.0045999999999988E-2</v>
      </c>
      <c r="K14" s="165" t="s">
        <v>360</v>
      </c>
      <c r="L14" s="165">
        <v>0.94</v>
      </c>
    </row>
    <row r="15" spans="2:13" x14ac:dyDescent="0.25">
      <c r="C15" s="166" t="s">
        <v>328</v>
      </c>
      <c r="D15" s="169">
        <f>-BS!G21</f>
        <v>-4070.9010416270494</v>
      </c>
      <c r="E15" s="169">
        <f>-BS!H21</f>
        <v>-4420.4415285996783</v>
      </c>
      <c r="F15" s="169">
        <f>-BS!I21</f>
        <v>-4799.9946714398229</v>
      </c>
      <c r="H15" s="165" t="s">
        <v>352</v>
      </c>
      <c r="I15" s="189">
        <f>1-I13</f>
        <v>0.33492989734767997</v>
      </c>
      <c r="K15" s="165" t="s">
        <v>361</v>
      </c>
      <c r="L15" s="165">
        <v>1</v>
      </c>
    </row>
    <row r="16" spans="2:13" x14ac:dyDescent="0.25">
      <c r="B16" t="s">
        <v>331</v>
      </c>
      <c r="C16" s="168" t="s">
        <v>329</v>
      </c>
      <c r="D16" s="170">
        <f>SUM(D13:D15)</f>
        <v>43285.57348499709</v>
      </c>
      <c r="E16" s="170">
        <f>SUM(E13:E15)</f>
        <v>50836.249624529817</v>
      </c>
      <c r="F16" s="170">
        <f>SUM(F13:F15)</f>
        <v>55201.211402750356</v>
      </c>
      <c r="H16" s="165" t="s">
        <v>353</v>
      </c>
      <c r="I16" s="189">
        <f>CS_1!E87</f>
        <v>4.348920742555977E-2</v>
      </c>
      <c r="K16" s="165" t="s">
        <v>362</v>
      </c>
      <c r="L16" s="165">
        <v>0.94</v>
      </c>
    </row>
    <row r="17" spans="8:29" x14ac:dyDescent="0.25">
      <c r="H17" s="165" t="s">
        <v>354</v>
      </c>
      <c r="I17" s="190">
        <f>CS_1!F13</f>
        <v>0.21</v>
      </c>
      <c r="K17" s="165" t="s">
        <v>363</v>
      </c>
      <c r="L17" s="165">
        <v>1.1599999999999999</v>
      </c>
      <c r="M17" t="s">
        <v>366</v>
      </c>
    </row>
    <row r="18" spans="8:29" x14ac:dyDescent="0.25">
      <c r="H18" s="168" t="s">
        <v>330</v>
      </c>
      <c r="I18" s="188">
        <f>I13*I14+I15*I16*(1-I17)</f>
        <v>5.1441809649093208E-2</v>
      </c>
      <c r="K18" s="165" t="s">
        <v>364</v>
      </c>
      <c r="L18" s="165">
        <v>1.19</v>
      </c>
    </row>
    <row r="19" spans="8:29" x14ac:dyDescent="0.25">
      <c r="K19" s="168" t="s">
        <v>365</v>
      </c>
      <c r="L19" s="168">
        <f>AVERAGE(L13:L18)</f>
        <v>1.0199999999999998</v>
      </c>
    </row>
    <row r="20" spans="8:29" ht="15.75" thickBot="1" x14ac:dyDescent="0.3">
      <c r="O20" s="211" t="s">
        <v>401</v>
      </c>
    </row>
    <row r="21" spans="8:29" x14ac:dyDescent="0.25">
      <c r="H21" s="191" t="s">
        <v>367</v>
      </c>
      <c r="I21" s="191" t="s">
        <v>368</v>
      </c>
      <c r="O21" s="210" t="s">
        <v>367</v>
      </c>
      <c r="P21" s="210" t="s">
        <v>368</v>
      </c>
    </row>
    <row r="22" spans="8:29" x14ac:dyDescent="0.25">
      <c r="H22" s="178" t="s">
        <v>369</v>
      </c>
      <c r="I22" s="179">
        <v>2.5000000000000001E-2</v>
      </c>
      <c r="K22" s="191" t="s">
        <v>370</v>
      </c>
      <c r="L22" s="191" t="s">
        <v>368</v>
      </c>
      <c r="P22" s="203" t="s">
        <v>402</v>
      </c>
    </row>
    <row r="23" spans="8:29" x14ac:dyDescent="0.25">
      <c r="H23" s="178" t="s">
        <v>371</v>
      </c>
      <c r="I23" s="180">
        <f>L10</f>
        <v>5.8999999999999997E-2</v>
      </c>
      <c r="K23" s="178" t="s">
        <v>369</v>
      </c>
      <c r="L23" s="181">
        <v>2.5000000000000001E-2</v>
      </c>
      <c r="N23" s="203" t="s">
        <v>403</v>
      </c>
      <c r="O23" s="196">
        <f>I29</f>
        <v>236.15130171847491</v>
      </c>
      <c r="P23" s="204">
        <v>5.0000000000000001E-3</v>
      </c>
      <c r="Q23" s="204">
        <f>P23+0.5%</f>
        <v>0.01</v>
      </c>
      <c r="R23" s="204">
        <f t="shared" ref="R23:Y23" si="0">Q23+0.5%</f>
        <v>1.4999999999999999E-2</v>
      </c>
      <c r="S23" s="204">
        <f t="shared" si="0"/>
        <v>0.02</v>
      </c>
      <c r="T23" s="209">
        <f>S23+0.5%</f>
        <v>2.5000000000000001E-2</v>
      </c>
      <c r="U23" s="204">
        <f t="shared" si="0"/>
        <v>3.0000000000000002E-2</v>
      </c>
      <c r="V23" s="204">
        <f t="shared" si="0"/>
        <v>3.5000000000000003E-2</v>
      </c>
      <c r="W23" s="204">
        <f t="shared" si="0"/>
        <v>0.04</v>
      </c>
      <c r="X23" s="204">
        <f t="shared" si="0"/>
        <v>4.4999999999999998E-2</v>
      </c>
      <c r="Y23" s="204">
        <f t="shared" si="0"/>
        <v>4.9999999999999996E-2</v>
      </c>
      <c r="Z23" s="126"/>
      <c r="AA23" s="126"/>
      <c r="AB23" s="126"/>
      <c r="AC23" s="126"/>
    </row>
    <row r="24" spans="8:29" x14ac:dyDescent="0.25">
      <c r="H24" s="182" t="s">
        <v>372</v>
      </c>
      <c r="I24" s="183">
        <f>F13*(1+I22)/(I23-I22)</f>
        <v>1908868.5646367313</v>
      </c>
      <c r="J24" s="14"/>
      <c r="K24" s="178" t="s">
        <v>371</v>
      </c>
      <c r="L24" s="180">
        <f>L10</f>
        <v>5.8999999999999997E-2</v>
      </c>
      <c r="O24" s="205">
        <v>0.03</v>
      </c>
      <c r="P24" s="24">
        <f t="dataTable" ref="P24:Y36" dt2D="1" dtr="0" r1="I22" r2="I14"/>
        <v>162.287496465521</v>
      </c>
      <c r="Q24" s="24">
        <v>177.46032302255279</v>
      </c>
      <c r="R24" s="24">
        <v>196.08151925163719</v>
      </c>
      <c r="S24" s="24">
        <v>219.47738118048693</v>
      </c>
      <c r="T24" s="208">
        <v>249.75437897076293</v>
      </c>
      <c r="U24" s="24">
        <v>290.47172082665145</v>
      </c>
      <c r="V24" s="24">
        <v>348.15462178916005</v>
      </c>
      <c r="W24" s="24">
        <v>436.19694431088385</v>
      </c>
      <c r="X24" s="24">
        <v>587.12664006241027</v>
      </c>
      <c r="Y24" s="24">
        <v>905.75599776007709</v>
      </c>
    </row>
    <row r="25" spans="8:29" x14ac:dyDescent="0.25">
      <c r="H25" s="182" t="s">
        <v>373</v>
      </c>
      <c r="I25" s="183">
        <f>-PV(I18,3,,I24)</f>
        <v>1642178.2620007389</v>
      </c>
      <c r="J25" s="14"/>
      <c r="K25" s="182" t="s">
        <v>372</v>
      </c>
      <c r="L25" s="183">
        <f>F16*(1+L23)/(L24-L23)</f>
        <v>1664154.1672887974</v>
      </c>
      <c r="O25" s="206">
        <f t="shared" ref="O25:O36" si="1">O24+0.5%</f>
        <v>3.4999999999999996E-2</v>
      </c>
      <c r="P25" s="24">
        <v>160.79183106316856</v>
      </c>
      <c r="Q25" s="24">
        <v>175.81885044525879</v>
      </c>
      <c r="R25" s="24">
        <v>194.26110150509672</v>
      </c>
      <c r="S25" s="24">
        <v>217.43213488797014</v>
      </c>
      <c r="T25" s="208">
        <v>247.41817808933561</v>
      </c>
      <c r="U25" s="24">
        <v>287.74423618772374</v>
      </c>
      <c r="V25" s="24">
        <v>344.87281849377348</v>
      </c>
      <c r="W25" s="24">
        <v>432.06907569774432</v>
      </c>
      <c r="X25" s="24">
        <v>581.54837376169417</v>
      </c>
      <c r="Y25" s="24">
        <v>897.11578078558819</v>
      </c>
    </row>
    <row r="26" spans="8:29" x14ac:dyDescent="0.25">
      <c r="H26" s="182" t="s">
        <v>374</v>
      </c>
      <c r="I26" s="183">
        <f>NPV(I18,D13:F13)</f>
        <v>154933.1440768551</v>
      </c>
      <c r="K26" s="182" t="s">
        <v>373</v>
      </c>
      <c r="L26" s="183">
        <f>-PV(I10,3,,L25)</f>
        <v>1397074.0376773044</v>
      </c>
      <c r="O26" s="206">
        <f t="shared" si="1"/>
        <v>3.9999999999999994E-2</v>
      </c>
      <c r="P26" s="24">
        <v>159.31499080942714</v>
      </c>
      <c r="Q26" s="24">
        <v>174.19806527678904</v>
      </c>
      <c r="R26" s="24">
        <v>192.46365666855135</v>
      </c>
      <c r="S26" s="24">
        <v>215.41273303256051</v>
      </c>
      <c r="T26" s="208">
        <v>245.11153773892519</v>
      </c>
      <c r="U26" s="24">
        <v>285.05130958541577</v>
      </c>
      <c r="V26" s="24">
        <v>341.63265303461054</v>
      </c>
      <c r="W26" s="24">
        <v>427.99365093074999</v>
      </c>
      <c r="X26" s="24">
        <v>576.04107589556054</v>
      </c>
      <c r="Y26" s="24">
        <v>888.58563971016031</v>
      </c>
    </row>
    <row r="27" spans="8:29" x14ac:dyDescent="0.25">
      <c r="H27" s="178" t="s">
        <v>375</v>
      </c>
      <c r="I27" s="192">
        <f>SUM(I25:I26)</f>
        <v>1797111.406077594</v>
      </c>
      <c r="K27" s="182" t="s">
        <v>374</v>
      </c>
      <c r="L27" s="183">
        <f>NPV(I10,D16:F16)</f>
        <v>132415.79733594568</v>
      </c>
      <c r="O27" s="206">
        <f t="shared" si="1"/>
        <v>4.4999999999999991E-2</v>
      </c>
      <c r="P27" s="24">
        <v>157.85667835203068</v>
      </c>
      <c r="Q27" s="24">
        <v>172.59764052839813</v>
      </c>
      <c r="R27" s="24">
        <v>190.68882138121265</v>
      </c>
      <c r="S27" s="24">
        <v>213.41876655526167</v>
      </c>
      <c r="T27" s="208">
        <v>242.83398972167805</v>
      </c>
      <c r="U27" s="24">
        <v>282.39239329030704</v>
      </c>
      <c r="V27" s="24">
        <v>338.43346501253137</v>
      </c>
      <c r="W27" s="24">
        <v>423.96983764118954</v>
      </c>
      <c r="X27" s="24">
        <v>570.60361929031774</v>
      </c>
      <c r="Y27" s="24">
        <v>880.16382499403289</v>
      </c>
    </row>
    <row r="28" spans="8:29" x14ac:dyDescent="0.25">
      <c r="H28" s="182" t="s">
        <v>376</v>
      </c>
      <c r="I28" s="184">
        <f>IS!E23</f>
        <v>7610</v>
      </c>
      <c r="K28" s="178" t="s">
        <v>377</v>
      </c>
      <c r="L28" s="192">
        <f>SUM(L26:L27)</f>
        <v>1529489.8350132501</v>
      </c>
      <c r="O28" s="206">
        <f t="shared" si="1"/>
        <v>4.9999999999999989E-2</v>
      </c>
      <c r="P28" s="24">
        <v>156.41660197351001</v>
      </c>
      <c r="Q28" s="24">
        <v>171.01725541031146</v>
      </c>
      <c r="R28" s="24">
        <v>188.93623917365866</v>
      </c>
      <c r="S28" s="24">
        <v>211.449834158377</v>
      </c>
      <c r="T28" s="208">
        <v>240.58507472683598</v>
      </c>
      <c r="U28" s="24">
        <v>279.76694997407407</v>
      </c>
      <c r="V28" s="24">
        <v>335.27460657432778</v>
      </c>
      <c r="W28" s="24">
        <v>419.9968192799783</v>
      </c>
      <c r="X28" s="24">
        <v>565.23489820395059</v>
      </c>
      <c r="Y28" s="24">
        <v>871.84862037678079</v>
      </c>
    </row>
    <row r="29" spans="8:29" x14ac:dyDescent="0.25">
      <c r="H29" s="193" t="s">
        <v>378</v>
      </c>
      <c r="I29" s="194">
        <f>I27/(I28)</f>
        <v>236.15130171847491</v>
      </c>
      <c r="K29" s="182" t="s">
        <v>376</v>
      </c>
      <c r="L29" s="184">
        <f>I28</f>
        <v>7610</v>
      </c>
      <c r="O29" s="206">
        <f t="shared" si="1"/>
        <v>5.4999999999999986E-2</v>
      </c>
      <c r="P29" s="24">
        <v>154.99447546682654</v>
      </c>
      <c r="Q29" s="24">
        <v>169.45659519486949</v>
      </c>
      <c r="R29" s="24">
        <v>187.20556031564936</v>
      </c>
      <c r="S29" s="24">
        <v>209.50554213406525</v>
      </c>
      <c r="T29" s="208">
        <v>238.36434213436806</v>
      </c>
      <c r="U29" s="24">
        <v>277.17445247960296</v>
      </c>
      <c r="V29" s="24">
        <v>332.15544213535225</v>
      </c>
      <c r="W29" s="24">
        <v>416.07379476781182</v>
      </c>
      <c r="X29" s="24">
        <v>559.93382785202812</v>
      </c>
      <c r="Y29" s="24">
        <v>863.63834214092901</v>
      </c>
    </row>
    <row r="30" spans="8:29" x14ac:dyDescent="0.25">
      <c r="K30" s="193" t="s">
        <v>378</v>
      </c>
      <c r="L30" s="195">
        <f>L28/L29</f>
        <v>200.98420959438241</v>
      </c>
      <c r="O30" s="207">
        <f t="shared" si="1"/>
        <v>5.9999999999999984E-2</v>
      </c>
      <c r="P30" s="208">
        <v>153.59001801413558</v>
      </c>
      <c r="Q30" s="208">
        <v>167.91535108311507</v>
      </c>
      <c r="R30" s="208">
        <v>185.49644166777165</v>
      </c>
      <c r="S30" s="208">
        <v>207.58550419721206</v>
      </c>
      <c r="T30" s="208">
        <v>236.17134982354665</v>
      </c>
      <c r="U30" s="208">
        <v>274.61438359689322</v>
      </c>
      <c r="V30" s="208">
        <v>329.0753481091341</v>
      </c>
      <c r="W30" s="208">
        <v>412.19997815413342</v>
      </c>
      <c r="X30" s="208">
        <v>554.69934394556071</v>
      </c>
      <c r="Y30" s="208">
        <v>855.53133839412942</v>
      </c>
    </row>
    <row r="31" spans="8:29" x14ac:dyDescent="0.25">
      <c r="H31" s="191" t="s">
        <v>379</v>
      </c>
      <c r="I31" s="191"/>
      <c r="O31" s="206">
        <f t="shared" si="1"/>
        <v>6.4999999999999988E-2</v>
      </c>
      <c r="P31" s="24">
        <v>152.20295406859148</v>
      </c>
      <c r="Q31" s="24">
        <v>166.39322007473007</v>
      </c>
      <c r="R31" s="24">
        <v>183.80854653680919</v>
      </c>
      <c r="S31" s="24">
        <v>205.68934132249842</v>
      </c>
      <c r="T31" s="208">
        <v>234.00566398633146</v>
      </c>
      <c r="U31" s="24">
        <v>272.08623584458974</v>
      </c>
      <c r="V31" s="24">
        <v>326.03371264378893</v>
      </c>
      <c r="W31" s="24">
        <v>408.37459828467195</v>
      </c>
      <c r="X31" s="24">
        <v>549.53040224047129</v>
      </c>
      <c r="Y31" s="24">
        <v>847.52598836938091</v>
      </c>
    </row>
    <row r="32" spans="8:29" x14ac:dyDescent="0.25">
      <c r="H32" s="165" t="s">
        <v>380</v>
      </c>
      <c r="I32" s="185">
        <f>RV_EV!B18</f>
        <v>42.895376674494621</v>
      </c>
      <c r="K32" s="191" t="s">
        <v>381</v>
      </c>
      <c r="L32" s="191"/>
      <c r="O32" s="206">
        <f t="shared" si="1"/>
        <v>6.9999999999999993E-2</v>
      </c>
      <c r="P32" s="24">
        <v>150.83301323910814</v>
      </c>
      <c r="Q32" s="24">
        <v>164.88990484122394</v>
      </c>
      <c r="R32" s="24">
        <v>182.14154453472969</v>
      </c>
      <c r="S32" s="24">
        <v>203.81668158554467</v>
      </c>
      <c r="T32" s="208">
        <v>231.86685894542285</v>
      </c>
      <c r="U32" s="24">
        <v>269.58951125698314</v>
      </c>
      <c r="V32" s="24">
        <v>323.0299353650268</v>
      </c>
      <c r="W32" s="24">
        <v>404.59689847730414</v>
      </c>
      <c r="X32" s="24">
        <v>544.42597809835081</v>
      </c>
      <c r="Y32" s="24">
        <v>839.62070174278267</v>
      </c>
    </row>
    <row r="33" spans="8:25" x14ac:dyDescent="0.25">
      <c r="H33" s="165" t="s">
        <v>382</v>
      </c>
      <c r="I33" s="186">
        <f>IS!E11</f>
        <v>52959</v>
      </c>
      <c r="K33" s="165" t="s">
        <v>380</v>
      </c>
      <c r="L33" s="185">
        <f>I32</f>
        <v>42.895376674494621</v>
      </c>
      <c r="O33" s="206">
        <f t="shared" si="1"/>
        <v>7.4999999999999997E-2</v>
      </c>
      <c r="P33" s="24">
        <v>149.47993017799311</v>
      </c>
      <c r="Q33" s="24">
        <v>163.40511360228564</v>
      </c>
      <c r="R33" s="24">
        <v>180.49511144119009</v>
      </c>
      <c r="S33" s="24">
        <v>201.96716000801882</v>
      </c>
      <c r="T33" s="208">
        <v>229.75451697685594</v>
      </c>
      <c r="U33" s="24">
        <v>267.12372117632663</v>
      </c>
      <c r="V33" s="24">
        <v>320.06342712557665</v>
      </c>
      <c r="W33" s="24">
        <v>400.86613620601099</v>
      </c>
      <c r="X33" s="24">
        <v>539.38506605818395</v>
      </c>
      <c r="Y33" s="24">
        <v>831.8139179683269</v>
      </c>
    </row>
    <row r="34" spans="8:25" x14ac:dyDescent="0.25">
      <c r="H34" s="34" t="s">
        <v>372</v>
      </c>
      <c r="I34" s="183">
        <f>I32*I33</f>
        <v>2271696.2533045607</v>
      </c>
      <c r="K34" s="165" t="s">
        <v>382</v>
      </c>
      <c r="L34" s="186">
        <f>I33</f>
        <v>52959</v>
      </c>
      <c r="O34" s="206">
        <f t="shared" si="1"/>
        <v>0.08</v>
      </c>
      <c r="P34" s="24">
        <v>148.1434444713733</v>
      </c>
      <c r="Q34" s="24">
        <v>161.93856000520756</v>
      </c>
      <c r="R34" s="24">
        <v>178.86892906945872</v>
      </c>
      <c r="S34" s="24">
        <v>200.14041840659482</v>
      </c>
      <c r="T34" s="208">
        <v>227.66822813700611</v>
      </c>
      <c r="U34" s="24">
        <v>264.688386050318</v>
      </c>
      <c r="V34" s="24">
        <v>317.133609760843</v>
      </c>
      <c r="W34" s="24">
        <v>397.1815827926971</v>
      </c>
      <c r="X34" s="24">
        <v>534.40667941873255</v>
      </c>
      <c r="Y34" s="24">
        <v>824.10410562925188</v>
      </c>
    </row>
    <row r="35" spans="8:25" x14ac:dyDescent="0.25">
      <c r="H35" s="182" t="s">
        <v>373</v>
      </c>
      <c r="I35" s="183">
        <f>-PV(I18,3,,I34)</f>
        <v>1954314.861775313</v>
      </c>
      <c r="K35" s="34" t="s">
        <v>372</v>
      </c>
      <c r="L35" s="183">
        <f>L33*L34</f>
        <v>2271696.2533045607</v>
      </c>
      <c r="O35" s="206">
        <f t="shared" si="1"/>
        <v>8.5000000000000006E-2</v>
      </c>
      <c r="P35" s="24">
        <v>146.82330053233619</v>
      </c>
      <c r="Q35" s="24">
        <v>160.48996300729871</v>
      </c>
      <c r="R35" s="24">
        <v>177.26268513566174</v>
      </c>
      <c r="S35" s="24">
        <v>198.3361052456564</v>
      </c>
      <c r="T35" s="208">
        <v>225.60759009388471</v>
      </c>
      <c r="U35" s="24">
        <v>262.28303523460562</v>
      </c>
      <c r="V35" s="24">
        <v>314.2399158506268</v>
      </c>
      <c r="W35" s="24">
        <v>393.54252310665919</v>
      </c>
      <c r="X35" s="24">
        <v>529.48984983128605</v>
      </c>
      <c r="Y35" s="24">
        <v>816.48976180549823</v>
      </c>
    </row>
    <row r="36" spans="8:25" x14ac:dyDescent="0.25">
      <c r="H36" s="182" t="s">
        <v>374</v>
      </c>
      <c r="I36" s="183">
        <f>I26</f>
        <v>154933.1440768551</v>
      </c>
      <c r="K36" s="182" t="s">
        <v>373</v>
      </c>
      <c r="L36" s="183">
        <f>-PV(I10,3,0,L35)</f>
        <v>1907111.6843406237</v>
      </c>
      <c r="O36" s="206">
        <f t="shared" si="1"/>
        <v>9.0000000000000011E-2</v>
      </c>
      <c r="P36" s="24">
        <v>145.51924749670951</v>
      </c>
      <c r="Q36" s="24">
        <v>159.0590467612015</v>
      </c>
      <c r="R36" s="24">
        <v>175.67607313125978</v>
      </c>
      <c r="S36" s="24">
        <v>196.55387549364076</v>
      </c>
      <c r="T36" s="208">
        <v>223.57220796260435</v>
      </c>
      <c r="U36" s="24">
        <v>259.90720680017608</v>
      </c>
      <c r="V36" s="24">
        <v>311.3817884867359</v>
      </c>
      <c r="W36" s="24">
        <v>389.94825527148532</v>
      </c>
      <c r="X36" s="24">
        <v>524.63362690248414</v>
      </c>
      <c r="Y36" s="24">
        <v>808.96941145681501</v>
      </c>
    </row>
    <row r="37" spans="8:25" x14ac:dyDescent="0.25">
      <c r="H37" s="178" t="s">
        <v>375</v>
      </c>
      <c r="I37" s="192">
        <f>SUM(I35:I36)</f>
        <v>2109248.005852168</v>
      </c>
      <c r="K37" s="182" t="s">
        <v>374</v>
      </c>
      <c r="L37" s="183">
        <f>L27</f>
        <v>132415.79733594568</v>
      </c>
      <c r="O37" s="202"/>
    </row>
    <row r="38" spans="8:25" x14ac:dyDescent="0.25">
      <c r="H38" s="182" t="s">
        <v>376</v>
      </c>
      <c r="I38" s="184">
        <f>I28</f>
        <v>7610</v>
      </c>
      <c r="K38" s="178" t="s">
        <v>375</v>
      </c>
      <c r="L38" s="192">
        <f>SUM(L36:L37)</f>
        <v>2039527.4816765694</v>
      </c>
    </row>
    <row r="39" spans="8:25" x14ac:dyDescent="0.25">
      <c r="H39" s="193" t="s">
        <v>378</v>
      </c>
      <c r="I39" s="195">
        <f>I37/I38</f>
        <v>277.16793769410879</v>
      </c>
      <c r="K39" s="182" t="s">
        <v>376</v>
      </c>
      <c r="L39" s="184">
        <f>I38</f>
        <v>7610</v>
      </c>
    </row>
    <row r="40" spans="8:25" x14ac:dyDescent="0.25">
      <c r="K40" s="193" t="s">
        <v>378</v>
      </c>
      <c r="L40" s="195">
        <f>L38/L39</f>
        <v>268.00623937931266</v>
      </c>
    </row>
  </sheetData>
  <mergeCells count="2">
    <mergeCell ref="H2:J2"/>
    <mergeCell ref="L1:M2"/>
  </mergeCells>
  <pageMargins left="0.7" right="0.7" top="0.75" bottom="0.75" header="0.3" footer="0.3"/>
  <pageSetup orientation="portrait" r:id="rId1"/>
  <drawing r:id="rId2"/>
  <legacyDrawing r:id="rId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B2:J27"/>
  <sheetViews>
    <sheetView workbookViewId="0">
      <selection activeCell="J11" sqref="J11"/>
    </sheetView>
  </sheetViews>
  <sheetFormatPr defaultRowHeight="15" x14ac:dyDescent="0.25"/>
  <cols>
    <col min="2" max="2" width="14" customWidth="1"/>
    <col min="7" max="7" width="17.28515625" bestFit="1" customWidth="1"/>
    <col min="8" max="8" width="14.140625" bestFit="1" customWidth="1"/>
  </cols>
  <sheetData>
    <row r="2" spans="2:10" x14ac:dyDescent="0.25">
      <c r="B2" t="s">
        <v>385</v>
      </c>
      <c r="C2" s="31">
        <v>44051</v>
      </c>
    </row>
    <row r="3" spans="2:10" x14ac:dyDescent="0.25">
      <c r="B3" t="s">
        <v>181</v>
      </c>
      <c r="C3" s="196">
        <f>RV_EV!B4</f>
        <v>212.479996</v>
      </c>
      <c r="G3" s="200" t="s">
        <v>390</v>
      </c>
      <c r="H3" s="200" t="s">
        <v>389</v>
      </c>
      <c r="I3" s="201" t="s">
        <v>399</v>
      </c>
    </row>
    <row r="4" spans="2:10" x14ac:dyDescent="0.25">
      <c r="B4" t="s">
        <v>386</v>
      </c>
      <c r="C4">
        <v>232.86</v>
      </c>
      <c r="G4" s="165" t="s">
        <v>233</v>
      </c>
      <c r="H4" s="198">
        <v>316.38565561050876</v>
      </c>
      <c r="I4" s="182">
        <f t="shared" ref="I4:I27" si="0">H4/$C$3-1</f>
        <v>0.48901384396914604</v>
      </c>
    </row>
    <row r="5" spans="2:10" x14ac:dyDescent="0.25">
      <c r="B5" t="s">
        <v>387</v>
      </c>
      <c r="C5">
        <v>132.52000000000001</v>
      </c>
      <c r="G5" s="165" t="s">
        <v>225</v>
      </c>
      <c r="H5" s="198">
        <v>292.46967848942978</v>
      </c>
      <c r="I5" s="182">
        <f t="shared" si="0"/>
        <v>0.37645747362226878</v>
      </c>
    </row>
    <row r="6" spans="2:10" x14ac:dyDescent="0.25">
      <c r="G6" s="165" t="s">
        <v>193</v>
      </c>
      <c r="H6" s="197">
        <v>291.65146488117517</v>
      </c>
      <c r="I6" s="182">
        <f t="shared" si="0"/>
        <v>0.37260669414345804</v>
      </c>
    </row>
    <row r="7" spans="2:10" x14ac:dyDescent="0.25">
      <c r="G7" s="165" t="s">
        <v>206</v>
      </c>
      <c r="H7" s="198">
        <v>282.54109976635903</v>
      </c>
      <c r="I7" s="182">
        <f t="shared" si="0"/>
        <v>0.32973035149322483</v>
      </c>
    </row>
    <row r="8" spans="2:10" x14ac:dyDescent="0.25">
      <c r="G8" s="165" t="s">
        <v>396</v>
      </c>
      <c r="H8" s="198">
        <v>277.16793769410879</v>
      </c>
      <c r="I8" s="182">
        <f t="shared" si="0"/>
        <v>0.30444250240906823</v>
      </c>
    </row>
    <row r="9" spans="2:10" x14ac:dyDescent="0.25">
      <c r="G9" s="165" t="s">
        <v>398</v>
      </c>
      <c r="H9" s="198">
        <v>268.00623937931266</v>
      </c>
      <c r="I9" s="182">
        <f t="shared" si="0"/>
        <v>0.26132456901642942</v>
      </c>
    </row>
    <row r="10" spans="2:10" x14ac:dyDescent="0.25">
      <c r="G10" s="165" t="s">
        <v>209</v>
      </c>
      <c r="H10" s="198">
        <v>257.40882931528489</v>
      </c>
      <c r="I10" s="182">
        <f t="shared" si="0"/>
        <v>0.21144970896594373</v>
      </c>
      <c r="J10" t="s">
        <v>414</v>
      </c>
    </row>
    <row r="11" spans="2:10" x14ac:dyDescent="0.25">
      <c r="G11" s="165" t="s">
        <v>395</v>
      </c>
      <c r="H11" s="198">
        <v>236.15130171847491</v>
      </c>
      <c r="I11" s="182">
        <f t="shared" si="0"/>
        <v>0.11140486711264308</v>
      </c>
      <c r="J11" t="s">
        <v>400</v>
      </c>
    </row>
    <row r="12" spans="2:10" x14ac:dyDescent="0.25">
      <c r="G12" s="165" t="s">
        <v>232</v>
      </c>
      <c r="H12" s="198">
        <v>231.58289571983079</v>
      </c>
      <c r="I12" s="182">
        <f t="shared" si="0"/>
        <v>8.9904461970296667E-2</v>
      </c>
    </row>
    <row r="13" spans="2:10" x14ac:dyDescent="0.25">
      <c r="G13" s="165" t="s">
        <v>194</v>
      </c>
      <c r="H13" s="197">
        <v>223.81026877577438</v>
      </c>
      <c r="I13" s="182">
        <f t="shared" si="0"/>
        <v>5.3323950438018519E-2</v>
      </c>
    </row>
    <row r="14" spans="2:10" x14ac:dyDescent="0.25">
      <c r="G14" s="165" t="s">
        <v>208</v>
      </c>
      <c r="H14" s="198">
        <v>212.479996</v>
      </c>
      <c r="I14" s="182">
        <f t="shared" si="0"/>
        <v>0</v>
      </c>
    </row>
    <row r="15" spans="2:10" x14ac:dyDescent="0.25">
      <c r="G15" s="165" t="s">
        <v>231</v>
      </c>
      <c r="H15" s="198">
        <v>212.479996</v>
      </c>
      <c r="I15" s="182">
        <f t="shared" si="0"/>
        <v>0</v>
      </c>
    </row>
    <row r="16" spans="2:10" x14ac:dyDescent="0.25">
      <c r="G16" s="165" t="s">
        <v>391</v>
      </c>
      <c r="H16" s="198">
        <v>211.41471962210827</v>
      </c>
      <c r="I16" s="182">
        <f t="shared" si="0"/>
        <v>-5.0135372644289911E-3</v>
      </c>
    </row>
    <row r="17" spans="7:9" x14ac:dyDescent="0.25">
      <c r="G17" s="165" t="s">
        <v>229</v>
      </c>
      <c r="H17" s="198">
        <v>207.83622914111643</v>
      </c>
      <c r="I17" s="182">
        <f t="shared" si="0"/>
        <v>-2.1855077872288575E-2</v>
      </c>
    </row>
    <row r="18" spans="7:9" x14ac:dyDescent="0.25">
      <c r="G18" s="165" t="s">
        <v>204</v>
      </c>
      <c r="H18" s="198">
        <v>201.35051450332256</v>
      </c>
      <c r="I18" s="182">
        <f t="shared" si="0"/>
        <v>-5.2378961343153674E-2</v>
      </c>
    </row>
    <row r="19" spans="7:9" x14ac:dyDescent="0.25">
      <c r="G19" s="165" t="s">
        <v>397</v>
      </c>
      <c r="H19" s="198">
        <v>200.98420959438241</v>
      </c>
      <c r="I19" s="182">
        <f t="shared" si="0"/>
        <v>-5.4102911436508139E-2</v>
      </c>
    </row>
    <row r="20" spans="7:9" x14ac:dyDescent="0.25">
      <c r="G20" s="165" t="s">
        <v>227</v>
      </c>
      <c r="H20" s="198">
        <v>200.96891155035146</v>
      </c>
      <c r="I20" s="182">
        <f t="shared" si="0"/>
        <v>-5.4174909009545247E-2</v>
      </c>
    </row>
    <row r="21" spans="7:9" x14ac:dyDescent="0.25">
      <c r="G21" s="165" t="s">
        <v>196</v>
      </c>
      <c r="H21" s="197">
        <v>196.68890041588699</v>
      </c>
      <c r="I21" s="182">
        <f t="shared" si="0"/>
        <v>-7.4318034080314122E-2</v>
      </c>
    </row>
    <row r="22" spans="7:9" x14ac:dyDescent="0.25">
      <c r="G22" s="165" t="s">
        <v>228</v>
      </c>
      <c r="H22" s="198">
        <v>187.31791205205491</v>
      </c>
      <c r="I22" s="182">
        <f t="shared" si="0"/>
        <v>-0.11842095454456381</v>
      </c>
    </row>
    <row r="23" spans="7:9" x14ac:dyDescent="0.25">
      <c r="G23" s="165" t="s">
        <v>392</v>
      </c>
      <c r="H23" s="198">
        <v>162.32134322956142</v>
      </c>
      <c r="I23" s="182">
        <f t="shared" si="0"/>
        <v>-0.23606294105181824</v>
      </c>
    </row>
    <row r="24" spans="7:9" x14ac:dyDescent="0.25">
      <c r="G24" s="165" t="s">
        <v>394</v>
      </c>
      <c r="H24" s="198">
        <v>146.22311277813245</v>
      </c>
      <c r="I24" s="182">
        <f t="shared" si="0"/>
        <v>-0.31182645175627521</v>
      </c>
    </row>
    <row r="25" spans="7:9" x14ac:dyDescent="0.25">
      <c r="G25" s="165" t="s">
        <v>226</v>
      </c>
      <c r="H25" s="198">
        <v>124.58546001160632</v>
      </c>
      <c r="I25" s="182">
        <f t="shared" si="0"/>
        <v>-0.41366028634711427</v>
      </c>
    </row>
    <row r="26" spans="7:9" x14ac:dyDescent="0.25">
      <c r="G26" s="165" t="s">
        <v>195</v>
      </c>
      <c r="H26" s="197">
        <v>122.7225128830849</v>
      </c>
      <c r="I26" s="182">
        <f t="shared" si="0"/>
        <v>-0.42242792171793475</v>
      </c>
    </row>
    <row r="27" spans="7:9" x14ac:dyDescent="0.25">
      <c r="G27" s="165" t="s">
        <v>393</v>
      </c>
      <c r="H27" s="198">
        <v>93.411965630315891</v>
      </c>
      <c r="I27" s="182">
        <f t="shared" si="0"/>
        <v>-0.5603728944426567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B1:R44"/>
  <sheetViews>
    <sheetView workbookViewId="0">
      <selection activeCell="G10" sqref="G10"/>
    </sheetView>
  </sheetViews>
  <sheetFormatPr defaultRowHeight="15" x14ac:dyDescent="0.25"/>
  <cols>
    <col min="9" max="9" width="10.85546875" customWidth="1"/>
    <col min="10" max="10" width="18" bestFit="1" customWidth="1"/>
    <col min="11" max="11" width="11.85546875" customWidth="1"/>
    <col min="15" max="15" width="13.140625" customWidth="1"/>
  </cols>
  <sheetData>
    <row r="1" spans="2:15" x14ac:dyDescent="0.25">
      <c r="E1">
        <v>100</v>
      </c>
    </row>
    <row r="2" spans="2:15" x14ac:dyDescent="0.25">
      <c r="B2" t="s">
        <v>249</v>
      </c>
      <c r="C2" t="s">
        <v>250</v>
      </c>
      <c r="D2" t="s">
        <v>251</v>
      </c>
      <c r="E2" t="s">
        <v>252</v>
      </c>
      <c r="F2" t="s">
        <v>253</v>
      </c>
    </row>
    <row r="3" spans="2:15" x14ac:dyDescent="0.25">
      <c r="B3">
        <v>2011</v>
      </c>
      <c r="C3">
        <v>15542.6</v>
      </c>
      <c r="D3" s="129">
        <v>3.0859999999999999E-2</v>
      </c>
      <c r="E3">
        <v>69943</v>
      </c>
      <c r="J3" t="s">
        <v>254</v>
      </c>
    </row>
    <row r="4" spans="2:15" ht="15.75" thickBot="1" x14ac:dyDescent="0.3">
      <c r="B4">
        <v>2012</v>
      </c>
      <c r="C4">
        <v>16197.05</v>
      </c>
      <c r="D4" s="129">
        <v>1.822E-2</v>
      </c>
      <c r="E4">
        <v>73723</v>
      </c>
      <c r="F4" s="11">
        <v>5.4044007263057026E-2</v>
      </c>
    </row>
    <row r="5" spans="2:15" x14ac:dyDescent="0.25">
      <c r="B5">
        <v>2013</v>
      </c>
      <c r="C5">
        <v>16784.825000000001</v>
      </c>
      <c r="D5" s="129">
        <v>1.319E-2</v>
      </c>
      <c r="E5">
        <v>77849</v>
      </c>
      <c r="F5" s="11">
        <v>5.5966252051598442E-2</v>
      </c>
      <c r="J5" s="131" t="s">
        <v>255</v>
      </c>
      <c r="K5" s="131"/>
    </row>
    <row r="6" spans="2:15" x14ac:dyDescent="0.25">
      <c r="B6">
        <v>2014</v>
      </c>
      <c r="C6">
        <v>17527.275000000001</v>
      </c>
      <c r="D6" s="129">
        <v>5.2399999999999999E-3</v>
      </c>
      <c r="E6">
        <v>86833</v>
      </c>
      <c r="F6" s="11">
        <v>0.11540289534868786</v>
      </c>
      <c r="J6" t="s">
        <v>256</v>
      </c>
      <c r="K6" s="132">
        <v>0.85839454706814899</v>
      </c>
    </row>
    <row r="7" spans="2:15" x14ac:dyDescent="0.25">
      <c r="B7">
        <v>2015</v>
      </c>
      <c r="C7">
        <v>18224.775000000001</v>
      </c>
      <c r="D7" s="129">
        <v>7.1399999999999996E-3</v>
      </c>
      <c r="E7">
        <v>93580</v>
      </c>
      <c r="F7" s="11">
        <v>7.7700874091647165E-2</v>
      </c>
      <c r="J7" t="s">
        <v>257</v>
      </c>
      <c r="K7" s="132">
        <v>0.73684119843633211</v>
      </c>
    </row>
    <row r="8" spans="2:15" x14ac:dyDescent="0.25">
      <c r="B8">
        <v>2016</v>
      </c>
      <c r="C8">
        <v>18715.05</v>
      </c>
      <c r="D8" s="129">
        <v>2.1709999999999997E-2</v>
      </c>
      <c r="E8">
        <v>85320</v>
      </c>
      <c r="F8" s="11">
        <v>-8.8266723658901425E-2</v>
      </c>
      <c r="J8" t="s">
        <v>258</v>
      </c>
      <c r="K8">
        <v>0.70394634824087365</v>
      </c>
    </row>
    <row r="9" spans="2:15" x14ac:dyDescent="0.25">
      <c r="B9">
        <v>2017</v>
      </c>
      <c r="C9">
        <v>19519.400000000001</v>
      </c>
      <c r="D9" s="129">
        <v>2.1709999999999997E-2</v>
      </c>
      <c r="E9">
        <v>89950</v>
      </c>
      <c r="F9" s="11">
        <v>5.4266291608063844E-2</v>
      </c>
      <c r="J9" t="s">
        <v>259</v>
      </c>
      <c r="K9">
        <v>12890.229039364842</v>
      </c>
    </row>
    <row r="10" spans="2:15" ht="15.75" thickBot="1" x14ac:dyDescent="0.3">
      <c r="B10">
        <v>2018</v>
      </c>
      <c r="C10">
        <v>20580.25</v>
      </c>
      <c r="D10" s="129">
        <v>1.9110000000000002E-2</v>
      </c>
      <c r="E10">
        <v>110360</v>
      </c>
      <c r="F10" s="11">
        <v>0.22690383546414683</v>
      </c>
      <c r="J10" s="105" t="s">
        <v>260</v>
      </c>
      <c r="K10" s="105">
        <v>10</v>
      </c>
    </row>
    <row r="11" spans="2:15" x14ac:dyDescent="0.25">
      <c r="B11">
        <v>2019</v>
      </c>
      <c r="C11">
        <v>21427.674999999999</v>
      </c>
      <c r="D11" s="129">
        <v>1.9019999999999999E-2</v>
      </c>
      <c r="E11">
        <v>125843</v>
      </c>
      <c r="F11" s="11">
        <v>0.14029539688292858</v>
      </c>
    </row>
    <row r="12" spans="2:15" ht="15.75" thickBot="1" x14ac:dyDescent="0.3">
      <c r="B12">
        <v>2020</v>
      </c>
      <c r="C12">
        <v>20289.987000000001</v>
      </c>
      <c r="D12" s="129">
        <v>7.8399999999999997E-3</v>
      </c>
      <c r="E12">
        <v>143015</v>
      </c>
      <c r="F12" s="11">
        <v>0.13645574247276371</v>
      </c>
      <c r="J12" t="s">
        <v>261</v>
      </c>
    </row>
    <row r="13" spans="2:15" x14ac:dyDescent="0.25">
      <c r="B13">
        <v>2021</v>
      </c>
      <c r="C13">
        <v>21665.897000000001</v>
      </c>
      <c r="D13" s="129">
        <v>2.4169999999999997E-2</v>
      </c>
      <c r="E13">
        <f>K19+K20*C13</f>
        <v>128393.35274652552</v>
      </c>
      <c r="J13" s="130"/>
      <c r="K13" s="130" t="s">
        <v>264</v>
      </c>
      <c r="L13" s="130" t="s">
        <v>265</v>
      </c>
      <c r="M13" s="130" t="s">
        <v>266</v>
      </c>
      <c r="N13" s="130" t="s">
        <v>267</v>
      </c>
      <c r="O13" s="130" t="s">
        <v>268</v>
      </c>
    </row>
    <row r="14" spans="2:15" x14ac:dyDescent="0.25">
      <c r="J14" t="s">
        <v>243</v>
      </c>
      <c r="K14">
        <v>1</v>
      </c>
      <c r="L14">
        <v>3721921898.9017224</v>
      </c>
      <c r="M14">
        <v>3721921898.9017224</v>
      </c>
      <c r="N14">
        <v>22.399895243726075</v>
      </c>
      <c r="O14" s="134">
        <v>1.4774875701492553E-3</v>
      </c>
    </row>
    <row r="15" spans="2:15" x14ac:dyDescent="0.25">
      <c r="J15" t="s">
        <v>262</v>
      </c>
      <c r="K15">
        <v>8</v>
      </c>
      <c r="L15">
        <v>1329264037.4982772</v>
      </c>
      <c r="M15">
        <v>166158004.68728465</v>
      </c>
    </row>
    <row r="16" spans="2:15" ht="15.75" thickBot="1" x14ac:dyDescent="0.3">
      <c r="J16" s="105" t="s">
        <v>96</v>
      </c>
      <c r="K16" s="105">
        <v>9</v>
      </c>
      <c r="L16" s="105">
        <v>5051185936.3999996</v>
      </c>
      <c r="M16" s="105"/>
      <c r="N16" s="105"/>
      <c r="O16" s="105"/>
    </row>
    <row r="17" spans="2:18" ht="15.75" thickBot="1" x14ac:dyDescent="0.3">
      <c r="E17" t="s">
        <v>276</v>
      </c>
    </row>
    <row r="18" spans="2:18" x14ac:dyDescent="0.25">
      <c r="E18" t="s">
        <v>277</v>
      </c>
      <c r="J18" s="130"/>
      <c r="K18" s="130" t="s">
        <v>269</v>
      </c>
      <c r="L18" s="130" t="s">
        <v>259</v>
      </c>
      <c r="M18" s="130" t="s">
        <v>270</v>
      </c>
      <c r="N18" s="130" t="s">
        <v>271</v>
      </c>
      <c r="O18" s="130" t="s">
        <v>272</v>
      </c>
      <c r="P18" s="130" t="s">
        <v>273</v>
      </c>
      <c r="Q18" s="130" t="s">
        <v>274</v>
      </c>
      <c r="R18" s="130" t="s">
        <v>275</v>
      </c>
    </row>
    <row r="19" spans="2:18" x14ac:dyDescent="0.25">
      <c r="J19" t="s">
        <v>263</v>
      </c>
      <c r="K19">
        <v>-94399.191177359433</v>
      </c>
      <c r="L19">
        <v>40359.912672605613</v>
      </c>
      <c r="M19">
        <v>-2.3389344754809915</v>
      </c>
      <c r="N19" s="134">
        <v>4.7494623401931946E-2</v>
      </c>
      <c r="O19">
        <v>-187469.31669686706</v>
      </c>
      <c r="P19">
        <v>-1329.0656578518247</v>
      </c>
      <c r="Q19">
        <v>-187469.31669686706</v>
      </c>
      <c r="R19">
        <v>-1329.0656578518247</v>
      </c>
    </row>
    <row r="20" spans="2:18" ht="15.75" thickBot="1" x14ac:dyDescent="0.3">
      <c r="J20" s="105" t="s">
        <v>250</v>
      </c>
      <c r="K20" s="105">
        <v>10.283098083771234</v>
      </c>
      <c r="L20" s="105">
        <v>2.1727061047881477</v>
      </c>
      <c r="M20" s="105">
        <v>4.7328527595654268</v>
      </c>
      <c r="N20" s="105">
        <v>1.4774875701492553E-3</v>
      </c>
      <c r="O20" s="105">
        <v>5.272828821546427</v>
      </c>
      <c r="P20" s="105">
        <v>15.293367345996042</v>
      </c>
      <c r="Q20" s="105">
        <v>5.272828821546427</v>
      </c>
      <c r="R20" s="105">
        <v>15.293367345996042</v>
      </c>
    </row>
    <row r="23" spans="2:18" x14ac:dyDescent="0.25">
      <c r="B23" t="s">
        <v>249</v>
      </c>
      <c r="C23" t="s">
        <v>250</v>
      </c>
      <c r="D23" t="s">
        <v>251</v>
      </c>
      <c r="E23" t="s">
        <v>252</v>
      </c>
      <c r="F23" t="s">
        <v>253</v>
      </c>
    </row>
    <row r="24" spans="2:18" x14ac:dyDescent="0.25">
      <c r="B24">
        <v>2012</v>
      </c>
      <c r="C24">
        <v>16197.05</v>
      </c>
      <c r="D24" s="129">
        <v>1.822E-2</v>
      </c>
      <c r="E24">
        <v>73723</v>
      </c>
      <c r="F24" s="11">
        <v>5.4044007263057026E-2</v>
      </c>
    </row>
    <row r="25" spans="2:18" x14ac:dyDescent="0.25">
      <c r="B25">
        <v>2013</v>
      </c>
      <c r="C25">
        <v>16784.825000000001</v>
      </c>
      <c r="D25" s="129">
        <v>1.319E-2</v>
      </c>
      <c r="E25">
        <v>77849</v>
      </c>
      <c r="F25" s="11">
        <v>5.5966252051598442E-2</v>
      </c>
    </row>
    <row r="26" spans="2:18" x14ac:dyDescent="0.25">
      <c r="B26">
        <v>2014</v>
      </c>
      <c r="C26">
        <v>17527.275000000001</v>
      </c>
      <c r="D26" s="129">
        <v>5.2399999999999999E-3</v>
      </c>
      <c r="E26">
        <v>86833</v>
      </c>
      <c r="F26" s="11">
        <v>0.11540289534868786</v>
      </c>
    </row>
    <row r="27" spans="2:18" x14ac:dyDescent="0.25">
      <c r="B27">
        <v>2015</v>
      </c>
      <c r="C27">
        <v>18224.775000000001</v>
      </c>
      <c r="D27" s="129">
        <v>7.1399999999999996E-3</v>
      </c>
      <c r="E27">
        <v>93580</v>
      </c>
      <c r="F27" s="11">
        <v>7.7700874091647165E-2</v>
      </c>
      <c r="I27" t="s">
        <v>254</v>
      </c>
    </row>
    <row r="28" spans="2:18" ht="15.75" thickBot="1" x14ac:dyDescent="0.3">
      <c r="B28">
        <v>2016</v>
      </c>
      <c r="C28">
        <v>18715.05</v>
      </c>
      <c r="D28" s="129">
        <v>2.1709999999999997E-2</v>
      </c>
      <c r="E28">
        <v>85320</v>
      </c>
      <c r="F28" s="11">
        <v>-8.8266723658901425E-2</v>
      </c>
    </row>
    <row r="29" spans="2:18" x14ac:dyDescent="0.25">
      <c r="B29">
        <v>2017</v>
      </c>
      <c r="C29">
        <v>19519.400000000001</v>
      </c>
      <c r="D29" s="129">
        <v>2.1709999999999997E-2</v>
      </c>
      <c r="E29">
        <v>89950</v>
      </c>
      <c r="F29" s="11">
        <v>5.4266291608063844E-2</v>
      </c>
      <c r="I29" s="131" t="s">
        <v>255</v>
      </c>
      <c r="J29" s="131"/>
    </row>
    <row r="30" spans="2:18" x14ac:dyDescent="0.25">
      <c r="B30">
        <v>2018</v>
      </c>
      <c r="C30">
        <v>20580.25</v>
      </c>
      <c r="D30" s="129">
        <v>1.9110000000000002E-2</v>
      </c>
      <c r="E30">
        <v>110360</v>
      </c>
      <c r="F30" s="11">
        <v>0.22690383546414683</v>
      </c>
      <c r="I30" t="s">
        <v>256</v>
      </c>
      <c r="J30" s="132">
        <v>0.26848178292322483</v>
      </c>
    </row>
    <row r="31" spans="2:18" x14ac:dyDescent="0.25">
      <c r="B31">
        <v>2019</v>
      </c>
      <c r="C31">
        <v>21427.674999999999</v>
      </c>
      <c r="D31" s="129">
        <v>1.9019999999999999E-2</v>
      </c>
      <c r="E31">
        <v>125843</v>
      </c>
      <c r="F31" s="11">
        <v>0.14029539688292858</v>
      </c>
      <c r="I31" t="s">
        <v>257</v>
      </c>
      <c r="J31" s="132">
        <v>7.2082467761633615E-2</v>
      </c>
    </row>
    <row r="32" spans="2:18" x14ac:dyDescent="0.25">
      <c r="B32">
        <v>2020</v>
      </c>
      <c r="C32">
        <v>20289.987000000001</v>
      </c>
      <c r="D32" s="129">
        <v>7.8399999999999997E-3</v>
      </c>
      <c r="E32">
        <v>143015</v>
      </c>
      <c r="F32" s="11">
        <v>0.13645574247276371</v>
      </c>
      <c r="I32" t="s">
        <v>258</v>
      </c>
      <c r="J32">
        <v>-6.0477179700990154E-2</v>
      </c>
    </row>
    <row r="33" spans="2:17" x14ac:dyDescent="0.25">
      <c r="B33">
        <v>2021</v>
      </c>
      <c r="C33">
        <v>21665.897000000001</v>
      </c>
      <c r="D33" s="129">
        <v>2.4169999999999997E-2</v>
      </c>
      <c r="E33">
        <f>K39+K40*C33</f>
        <v>1290.9100977763323</v>
      </c>
      <c r="I33" t="s">
        <v>259</v>
      </c>
      <c r="J33">
        <v>8.8870174355563436E-2</v>
      </c>
    </row>
    <row r="34" spans="2:17" ht="15.75" thickBot="1" x14ac:dyDescent="0.3">
      <c r="I34" s="105" t="s">
        <v>260</v>
      </c>
      <c r="J34" s="105">
        <v>9</v>
      </c>
    </row>
    <row r="36" spans="2:17" ht="15.75" thickBot="1" x14ac:dyDescent="0.3">
      <c r="I36" t="s">
        <v>261</v>
      </c>
    </row>
    <row r="37" spans="2:17" x14ac:dyDescent="0.25">
      <c r="I37" s="130"/>
      <c r="J37" s="130" t="s">
        <v>264</v>
      </c>
      <c r="K37" s="130" t="s">
        <v>265</v>
      </c>
      <c r="L37" s="130" t="s">
        <v>266</v>
      </c>
      <c r="M37" s="130" t="s">
        <v>267</v>
      </c>
      <c r="N37" s="130" t="s">
        <v>268</v>
      </c>
    </row>
    <row r="38" spans="2:17" x14ac:dyDescent="0.25">
      <c r="I38" t="s">
        <v>243</v>
      </c>
      <c r="J38">
        <v>1</v>
      </c>
      <c r="K38">
        <v>4.2946756555379967E-3</v>
      </c>
      <c r="L38">
        <v>4.2946756555379967E-3</v>
      </c>
      <c r="M38">
        <v>0.5437738342051478</v>
      </c>
      <c r="N38" s="133">
        <v>0.4848512958272192</v>
      </c>
    </row>
    <row r="39" spans="2:17" x14ac:dyDescent="0.25">
      <c r="I39" t="s">
        <v>262</v>
      </c>
      <c r="J39">
        <v>7</v>
      </c>
      <c r="K39">
        <v>5.5285355229917718E-2</v>
      </c>
      <c r="L39">
        <v>7.8979078899882454E-3</v>
      </c>
    </row>
    <row r="40" spans="2:17" ht="15.75" thickBot="1" x14ac:dyDescent="0.3">
      <c r="I40" s="105" t="s">
        <v>96</v>
      </c>
      <c r="J40" s="105">
        <v>8</v>
      </c>
      <c r="K40" s="105">
        <v>5.9580030885455715E-2</v>
      </c>
      <c r="L40" s="105"/>
      <c r="M40" s="105"/>
      <c r="N40" s="105"/>
    </row>
    <row r="41" spans="2:17" ht="15.75" thickBot="1" x14ac:dyDescent="0.3"/>
    <row r="42" spans="2:17" x14ac:dyDescent="0.25">
      <c r="I42" s="130"/>
      <c r="J42" s="130" t="s">
        <v>269</v>
      </c>
      <c r="K42" s="130" t="s">
        <v>259</v>
      </c>
      <c r="L42" s="130" t="s">
        <v>270</v>
      </c>
      <c r="M42" s="130" t="s">
        <v>271</v>
      </c>
      <c r="N42" s="130" t="s">
        <v>272</v>
      </c>
      <c r="O42" s="130" t="s">
        <v>273</v>
      </c>
      <c r="P42" s="130" t="s">
        <v>274</v>
      </c>
      <c r="Q42" s="130" t="s">
        <v>275</v>
      </c>
    </row>
    <row r="43" spans="2:17" x14ac:dyDescent="0.25">
      <c r="I43" t="s">
        <v>263</v>
      </c>
      <c r="J43">
        <v>0.13809722121614884</v>
      </c>
      <c r="K43">
        <v>7.6779323177221914E-2</v>
      </c>
      <c r="L43">
        <v>1.7986251441340926</v>
      </c>
      <c r="M43" s="133">
        <v>0.11511584631586423</v>
      </c>
      <c r="N43">
        <v>-4.3457028389590091E-2</v>
      </c>
      <c r="O43">
        <v>0.31965147082188777</v>
      </c>
      <c r="P43">
        <v>-4.3457028389590091E-2</v>
      </c>
      <c r="Q43">
        <v>0.31965147082188777</v>
      </c>
    </row>
    <row r="44" spans="2:17" ht="15.75" thickBot="1" x14ac:dyDescent="0.3">
      <c r="I44" s="105" t="s">
        <v>251</v>
      </c>
      <c r="J44" s="105">
        <v>-3.5298574817641351</v>
      </c>
      <c r="K44" s="105">
        <v>4.7868301532706328</v>
      </c>
      <c r="L44" s="105">
        <v>-0.73741022111518562</v>
      </c>
      <c r="M44" s="105">
        <v>0.48485129582721942</v>
      </c>
      <c r="N44" s="105">
        <v>-14.848912150443482</v>
      </c>
      <c r="O44" s="105">
        <v>7.789197186915211</v>
      </c>
      <c r="P44" s="105">
        <v>-14.848912150443482</v>
      </c>
      <c r="Q44" s="105">
        <v>7.789197186915211</v>
      </c>
    </row>
  </sheetData>
  <pageMargins left="0.7" right="0.7" top="0.75" bottom="0.75" header="0.3" footer="0.3"/>
  <pageSetup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H253"/>
  <sheetViews>
    <sheetView workbookViewId="0">
      <selection activeCell="H6" sqref="H6:H7"/>
    </sheetView>
  </sheetViews>
  <sheetFormatPr defaultRowHeight="15" x14ac:dyDescent="0.25"/>
  <cols>
    <col min="1" max="1" width="12.7109375" customWidth="1"/>
    <col min="2" max="2" width="12.140625" customWidth="1"/>
    <col min="3" max="3" width="12.5703125" customWidth="1"/>
  </cols>
  <sheetData>
    <row r="1" spans="1:8" x14ac:dyDescent="0.25">
      <c r="A1" t="s">
        <v>214</v>
      </c>
      <c r="B1" t="s">
        <v>340</v>
      </c>
      <c r="C1" t="s">
        <v>341</v>
      </c>
      <c r="D1" t="s">
        <v>342</v>
      </c>
      <c r="E1" t="s">
        <v>343</v>
      </c>
    </row>
    <row r="2" spans="1:8" x14ac:dyDescent="0.25">
      <c r="A2" s="66">
        <v>43721</v>
      </c>
      <c r="B2">
        <v>137.320007</v>
      </c>
      <c r="C2">
        <v>8176.7099609999996</v>
      </c>
      <c r="D2" s="155"/>
      <c r="E2" s="155"/>
    </row>
    <row r="3" spans="1:8" x14ac:dyDescent="0.25">
      <c r="A3" s="66">
        <v>43724</v>
      </c>
      <c r="B3">
        <v>136.33000200000001</v>
      </c>
      <c r="C3">
        <v>8153.5400390000004</v>
      </c>
      <c r="D3" s="11">
        <f>B3/B2-1</f>
        <v>-7.2094738532892944E-3</v>
      </c>
      <c r="E3" s="11">
        <f>C3/C2-1</f>
        <v>-2.8336485102824494E-3</v>
      </c>
    </row>
    <row r="4" spans="1:8" x14ac:dyDescent="0.25">
      <c r="A4" s="66">
        <v>43725</v>
      </c>
      <c r="B4">
        <v>137.38999899999999</v>
      </c>
      <c r="C4">
        <v>8186.0200199999999</v>
      </c>
      <c r="D4" s="11">
        <f t="shared" ref="D4:D67" si="0">B4/B3-1</f>
        <v>7.7752291091435222E-3</v>
      </c>
      <c r="E4" s="11">
        <f t="shared" ref="E4:E67" si="1">C4/C3-1</f>
        <v>3.9835434479553733E-3</v>
      </c>
    </row>
    <row r="5" spans="1:8" x14ac:dyDescent="0.25">
      <c r="A5" s="66">
        <v>43726</v>
      </c>
      <c r="B5">
        <v>138.520004</v>
      </c>
      <c r="C5">
        <v>8177.3901370000003</v>
      </c>
      <c r="D5" s="11">
        <f t="shared" si="0"/>
        <v>8.2247980800991272E-3</v>
      </c>
      <c r="E5" s="11">
        <f t="shared" si="1"/>
        <v>-1.0542220735980656E-3</v>
      </c>
    </row>
    <row r="6" spans="1:8" x14ac:dyDescent="0.25">
      <c r="A6" s="66">
        <v>43727</v>
      </c>
      <c r="B6">
        <v>141.070007</v>
      </c>
      <c r="C6">
        <v>8182.8798829999996</v>
      </c>
      <c r="D6" s="11">
        <f t="shared" si="0"/>
        <v>1.8408915148457661E-2</v>
      </c>
      <c r="E6" s="11">
        <f t="shared" si="1"/>
        <v>6.713322842650804E-4</v>
      </c>
      <c r="G6" t="s">
        <v>344</v>
      </c>
      <c r="H6" s="24">
        <f>COVAR(D:D,E:E)/VAR(E:E)</f>
        <v>1.1579712537850826</v>
      </c>
    </row>
    <row r="7" spans="1:8" x14ac:dyDescent="0.25">
      <c r="A7" s="66">
        <v>43728</v>
      </c>
      <c r="B7">
        <v>139.44000199999999</v>
      </c>
      <c r="C7">
        <v>8117.669922</v>
      </c>
      <c r="D7" s="11">
        <f t="shared" si="0"/>
        <v>-1.1554582257871537E-2</v>
      </c>
      <c r="E7" s="11">
        <f t="shared" si="1"/>
        <v>-7.9690722499146105E-3</v>
      </c>
      <c r="G7" t="s">
        <v>345</v>
      </c>
      <c r="H7" s="24">
        <f>SLOPE(D:D,E:E)</f>
        <v>1.1626031388002216</v>
      </c>
    </row>
    <row r="8" spans="1:8" x14ac:dyDescent="0.25">
      <c r="A8" s="66">
        <v>43731</v>
      </c>
      <c r="B8">
        <v>139.13999899999999</v>
      </c>
      <c r="C8">
        <v>8112.4599609999996</v>
      </c>
      <c r="D8" s="11">
        <f t="shared" si="0"/>
        <v>-2.1514844786075793E-3</v>
      </c>
      <c r="E8" s="11">
        <f t="shared" si="1"/>
        <v>-6.4180498222532467E-4</v>
      </c>
    </row>
    <row r="9" spans="1:8" x14ac:dyDescent="0.25">
      <c r="A9" s="66">
        <v>43732</v>
      </c>
      <c r="B9">
        <v>137.38000500000001</v>
      </c>
      <c r="C9">
        <v>7993.6298829999996</v>
      </c>
      <c r="D9" s="11">
        <f t="shared" si="0"/>
        <v>-1.2649087341160437E-2</v>
      </c>
      <c r="E9" s="11">
        <f t="shared" si="1"/>
        <v>-1.4647847702332739E-2</v>
      </c>
    </row>
    <row r="10" spans="1:8" x14ac:dyDescent="0.25">
      <c r="A10" s="66">
        <v>43733</v>
      </c>
      <c r="B10">
        <v>139.36000100000001</v>
      </c>
      <c r="C10">
        <v>8077.3798829999996</v>
      </c>
      <c r="D10" s="11">
        <f t="shared" si="0"/>
        <v>1.4412548609239018E-2</v>
      </c>
      <c r="E10" s="11">
        <f t="shared" si="1"/>
        <v>1.0477092538160981E-2</v>
      </c>
    </row>
    <row r="11" spans="1:8" x14ac:dyDescent="0.25">
      <c r="A11" s="66">
        <v>43734</v>
      </c>
      <c r="B11">
        <v>139.53999300000001</v>
      </c>
      <c r="C11">
        <v>8030.6601559999999</v>
      </c>
      <c r="D11" s="11">
        <f t="shared" si="0"/>
        <v>1.2915614143831355E-3</v>
      </c>
      <c r="E11" s="11">
        <f t="shared" si="1"/>
        <v>-5.7840200258908459E-3</v>
      </c>
    </row>
    <row r="12" spans="1:8" x14ac:dyDescent="0.25">
      <c r="A12" s="66">
        <v>43735</v>
      </c>
      <c r="B12">
        <v>137.729996</v>
      </c>
      <c r="C12">
        <v>7939.6298829999996</v>
      </c>
      <c r="D12" s="11">
        <f t="shared" si="0"/>
        <v>-1.2971170207812799E-2</v>
      </c>
      <c r="E12" s="11">
        <f t="shared" si="1"/>
        <v>-1.1335341208778216E-2</v>
      </c>
    </row>
    <row r="13" spans="1:8" x14ac:dyDescent="0.25">
      <c r="A13" s="66">
        <v>43738</v>
      </c>
      <c r="B13">
        <v>139.029999</v>
      </c>
      <c r="C13">
        <v>7999.3398440000001</v>
      </c>
      <c r="D13" s="11">
        <f t="shared" si="0"/>
        <v>9.4387790441814445E-3</v>
      </c>
      <c r="E13" s="11">
        <f t="shared" si="1"/>
        <v>7.5204967838424785E-3</v>
      </c>
    </row>
    <row r="14" spans="1:8" x14ac:dyDescent="0.25">
      <c r="A14" s="66">
        <v>43739</v>
      </c>
      <c r="B14">
        <v>137.070007</v>
      </c>
      <c r="C14">
        <v>7908.6801759999998</v>
      </c>
      <c r="D14" s="11">
        <f t="shared" si="0"/>
        <v>-1.4097619320273425E-2</v>
      </c>
      <c r="E14" s="11">
        <f t="shared" si="1"/>
        <v>-1.1333393725983631E-2</v>
      </c>
    </row>
    <row r="15" spans="1:8" x14ac:dyDescent="0.25">
      <c r="A15" s="66">
        <v>43740</v>
      </c>
      <c r="B15">
        <v>134.64999399999999</v>
      </c>
      <c r="C15">
        <v>7785.25</v>
      </c>
      <c r="D15" s="11">
        <f t="shared" si="0"/>
        <v>-1.7655306605477983E-2</v>
      </c>
      <c r="E15" s="11">
        <f t="shared" si="1"/>
        <v>-1.5606924702122327E-2</v>
      </c>
    </row>
    <row r="16" spans="1:8" x14ac:dyDescent="0.25">
      <c r="A16" s="66">
        <v>43741</v>
      </c>
      <c r="B16">
        <v>136.279999</v>
      </c>
      <c r="C16">
        <v>7872.2597660000001</v>
      </c>
      <c r="D16" s="11">
        <f t="shared" si="0"/>
        <v>1.2105496269090077E-2</v>
      </c>
      <c r="E16" s="11">
        <f t="shared" si="1"/>
        <v>1.1176232747824422E-2</v>
      </c>
    </row>
    <row r="17" spans="1:5" x14ac:dyDescent="0.25">
      <c r="A17" s="66">
        <v>43742</v>
      </c>
      <c r="B17">
        <v>138.11999499999999</v>
      </c>
      <c r="C17">
        <v>7982.4702150000003</v>
      </c>
      <c r="D17" s="11">
        <f t="shared" si="0"/>
        <v>1.3501585071188593E-2</v>
      </c>
      <c r="E17" s="11">
        <f t="shared" si="1"/>
        <v>1.3999849125405417E-2</v>
      </c>
    </row>
    <row r="18" spans="1:5" x14ac:dyDescent="0.25">
      <c r="A18" s="66">
        <v>43745</v>
      </c>
      <c r="B18">
        <v>137.11999499999999</v>
      </c>
      <c r="C18">
        <v>7956.2900390000004</v>
      </c>
      <c r="D18" s="11">
        <f t="shared" si="0"/>
        <v>-7.2400813510020701E-3</v>
      </c>
      <c r="E18" s="11">
        <f t="shared" si="1"/>
        <v>-3.2797085732689801E-3</v>
      </c>
    </row>
    <row r="19" spans="1:5" x14ac:dyDescent="0.25">
      <c r="A19" s="66">
        <v>43746</v>
      </c>
      <c r="B19">
        <v>135.66999799999999</v>
      </c>
      <c r="C19">
        <v>7823.7797849999997</v>
      </c>
      <c r="D19" s="11">
        <f t="shared" si="0"/>
        <v>-1.0574657620137762E-2</v>
      </c>
      <c r="E19" s="11">
        <f t="shared" si="1"/>
        <v>-1.665477921876457E-2</v>
      </c>
    </row>
    <row r="20" spans="1:5" x14ac:dyDescent="0.25">
      <c r="A20" s="66">
        <v>43747</v>
      </c>
      <c r="B20">
        <v>138.240005</v>
      </c>
      <c r="C20">
        <v>7903.7402339999999</v>
      </c>
      <c r="D20" s="11">
        <f t="shared" si="0"/>
        <v>1.8943075387972019E-2</v>
      </c>
      <c r="E20" s="11">
        <f t="shared" si="1"/>
        <v>1.0220181446479737E-2</v>
      </c>
    </row>
    <row r="21" spans="1:5" x14ac:dyDescent="0.25">
      <c r="A21" s="66">
        <v>43748</v>
      </c>
      <c r="B21">
        <v>139.10000600000001</v>
      </c>
      <c r="C21">
        <v>7950.7797849999997</v>
      </c>
      <c r="D21" s="11">
        <f t="shared" si="0"/>
        <v>6.2210718236013207E-3</v>
      </c>
      <c r="E21" s="11">
        <f t="shared" si="1"/>
        <v>5.9515557960327925E-3</v>
      </c>
    </row>
    <row r="22" spans="1:5" x14ac:dyDescent="0.25">
      <c r="A22" s="66">
        <v>43749</v>
      </c>
      <c r="B22">
        <v>139.679993</v>
      </c>
      <c r="C22">
        <v>8057.0400390000004</v>
      </c>
      <c r="D22" s="11">
        <f t="shared" si="0"/>
        <v>4.1695684757914186E-3</v>
      </c>
      <c r="E22" s="11">
        <f t="shared" si="1"/>
        <v>1.3364758787618891E-2</v>
      </c>
    </row>
    <row r="23" spans="1:5" x14ac:dyDescent="0.25">
      <c r="A23" s="66">
        <v>43752</v>
      </c>
      <c r="B23">
        <v>139.550003</v>
      </c>
      <c r="C23">
        <v>8048.6499020000001</v>
      </c>
      <c r="D23" s="11">
        <f t="shared" si="0"/>
        <v>-9.3062719440417663E-4</v>
      </c>
      <c r="E23" s="11">
        <f t="shared" si="1"/>
        <v>-1.0413423489753493E-3</v>
      </c>
    </row>
    <row r="24" spans="1:5" x14ac:dyDescent="0.25">
      <c r="A24" s="66">
        <v>43753</v>
      </c>
      <c r="B24">
        <v>141.570007</v>
      </c>
      <c r="C24">
        <v>8148.7099609999996</v>
      </c>
      <c r="D24" s="11">
        <f t="shared" si="0"/>
        <v>1.4475126883372491E-2</v>
      </c>
      <c r="E24" s="11">
        <f t="shared" si="1"/>
        <v>1.2431905998934845E-2</v>
      </c>
    </row>
    <row r="25" spans="1:5" x14ac:dyDescent="0.25">
      <c r="A25" s="66">
        <v>43754</v>
      </c>
      <c r="B25">
        <v>140.41000399999999</v>
      </c>
      <c r="C25">
        <v>8124.1801759999998</v>
      </c>
      <c r="D25" s="11">
        <f t="shared" si="0"/>
        <v>-8.1938471614260155E-3</v>
      </c>
      <c r="E25" s="11">
        <f t="shared" si="1"/>
        <v>-3.0102660565168859E-3</v>
      </c>
    </row>
    <row r="26" spans="1:5" x14ac:dyDescent="0.25">
      <c r="A26" s="66">
        <v>43755</v>
      </c>
      <c r="B26">
        <v>139.69000199999999</v>
      </c>
      <c r="C26">
        <v>8156.8500979999999</v>
      </c>
      <c r="D26" s="11">
        <f t="shared" si="0"/>
        <v>-5.1278539953605318E-3</v>
      </c>
      <c r="E26" s="11">
        <f t="shared" si="1"/>
        <v>4.0213192337255066E-3</v>
      </c>
    </row>
    <row r="27" spans="1:5" x14ac:dyDescent="0.25">
      <c r="A27" s="66">
        <v>43756</v>
      </c>
      <c r="B27">
        <v>137.41000399999999</v>
      </c>
      <c r="C27">
        <v>8089.5400390000004</v>
      </c>
      <c r="D27" s="11">
        <f t="shared" si="0"/>
        <v>-1.632184098615741E-2</v>
      </c>
      <c r="E27" s="11">
        <f t="shared" si="1"/>
        <v>-8.2519671431137143E-3</v>
      </c>
    </row>
    <row r="28" spans="1:5" x14ac:dyDescent="0.25">
      <c r="A28" s="66">
        <v>43759</v>
      </c>
      <c r="B28">
        <v>138.429993</v>
      </c>
      <c r="C28">
        <v>8162.9902339999999</v>
      </c>
      <c r="D28" s="11">
        <f t="shared" si="0"/>
        <v>7.422960267143397E-3</v>
      </c>
      <c r="E28" s="11">
        <f t="shared" si="1"/>
        <v>9.0796503442585053E-3</v>
      </c>
    </row>
    <row r="29" spans="1:5" x14ac:dyDescent="0.25">
      <c r="A29" s="66">
        <v>43760</v>
      </c>
      <c r="B29">
        <v>136.36999499999999</v>
      </c>
      <c r="C29">
        <v>8104.2998049999997</v>
      </c>
      <c r="D29" s="11">
        <f t="shared" si="0"/>
        <v>-1.4881153681774784E-2</v>
      </c>
      <c r="E29" s="11">
        <f t="shared" si="1"/>
        <v>-7.1898198230774257E-3</v>
      </c>
    </row>
    <row r="30" spans="1:5" x14ac:dyDescent="0.25">
      <c r="A30" s="66">
        <v>43761</v>
      </c>
      <c r="B30">
        <v>137.240005</v>
      </c>
      <c r="C30">
        <v>8119.7900390000004</v>
      </c>
      <c r="D30" s="11">
        <f t="shared" si="0"/>
        <v>6.37977584438576E-3</v>
      </c>
      <c r="E30" s="11">
        <f t="shared" si="1"/>
        <v>1.9113599413540516E-3</v>
      </c>
    </row>
    <row r="31" spans="1:5" x14ac:dyDescent="0.25">
      <c r="A31" s="66">
        <v>43762</v>
      </c>
      <c r="B31">
        <v>139.94000199999999</v>
      </c>
      <c r="C31">
        <v>8185.7998049999997</v>
      </c>
      <c r="D31" s="11">
        <f t="shared" si="0"/>
        <v>1.9673541982164755E-2</v>
      </c>
      <c r="E31" s="11">
        <f t="shared" si="1"/>
        <v>8.1294917335237304E-3</v>
      </c>
    </row>
    <row r="32" spans="1:5" x14ac:dyDescent="0.25">
      <c r="A32" s="66">
        <v>43763</v>
      </c>
      <c r="B32">
        <v>140.729996</v>
      </c>
      <c r="C32">
        <v>8243.1201170000004</v>
      </c>
      <c r="D32" s="11">
        <f t="shared" si="0"/>
        <v>5.6452335908927509E-3</v>
      </c>
      <c r="E32" s="11">
        <f t="shared" si="1"/>
        <v>7.0024082393254083E-3</v>
      </c>
    </row>
    <row r="33" spans="1:5" x14ac:dyDescent="0.25">
      <c r="A33" s="66">
        <v>43766</v>
      </c>
      <c r="B33">
        <v>144.19000199999999</v>
      </c>
      <c r="C33">
        <v>8325.9902340000008</v>
      </c>
      <c r="D33" s="11">
        <f t="shared" si="0"/>
        <v>2.4586130166592168E-2</v>
      </c>
      <c r="E33" s="11">
        <f t="shared" si="1"/>
        <v>1.0053246322238474E-2</v>
      </c>
    </row>
    <row r="34" spans="1:5" x14ac:dyDescent="0.25">
      <c r="A34" s="66">
        <v>43767</v>
      </c>
      <c r="B34">
        <v>142.83000200000001</v>
      </c>
      <c r="C34">
        <v>8276.8496090000008</v>
      </c>
      <c r="D34" s="11">
        <f t="shared" si="0"/>
        <v>-9.4319993143490155E-3</v>
      </c>
      <c r="E34" s="11">
        <f t="shared" si="1"/>
        <v>-5.9020757434148363E-3</v>
      </c>
    </row>
    <row r="35" spans="1:5" x14ac:dyDescent="0.25">
      <c r="A35" s="66">
        <v>43768</v>
      </c>
      <c r="B35">
        <v>144.61000100000001</v>
      </c>
      <c r="C35">
        <v>8303.9804690000001</v>
      </c>
      <c r="D35" s="11">
        <f t="shared" si="0"/>
        <v>1.246236067405504E-2</v>
      </c>
      <c r="E35" s="11">
        <f t="shared" si="1"/>
        <v>3.2779211030362632E-3</v>
      </c>
    </row>
    <row r="36" spans="1:5" x14ac:dyDescent="0.25">
      <c r="A36" s="66">
        <v>43769</v>
      </c>
      <c r="B36">
        <v>143.36999499999999</v>
      </c>
      <c r="C36">
        <v>8292.3603519999997</v>
      </c>
      <c r="D36" s="11">
        <f t="shared" si="0"/>
        <v>-8.5748287907142506E-3</v>
      </c>
      <c r="E36" s="11">
        <f t="shared" si="1"/>
        <v>-1.3993430070530222E-3</v>
      </c>
    </row>
    <row r="37" spans="1:5" x14ac:dyDescent="0.25">
      <c r="A37" s="66">
        <v>43770</v>
      </c>
      <c r="B37">
        <v>143.720001</v>
      </c>
      <c r="C37">
        <v>8386.4003909999992</v>
      </c>
      <c r="D37" s="11">
        <f t="shared" si="0"/>
        <v>2.4412778977918048E-3</v>
      </c>
      <c r="E37" s="11">
        <f t="shared" si="1"/>
        <v>1.1340563483510202E-2</v>
      </c>
    </row>
    <row r="38" spans="1:5" x14ac:dyDescent="0.25">
      <c r="A38" s="66">
        <v>43773</v>
      </c>
      <c r="B38">
        <v>144.550003</v>
      </c>
      <c r="C38">
        <v>8433.2001949999994</v>
      </c>
      <c r="D38" s="11">
        <f t="shared" si="0"/>
        <v>5.7751321613197515E-3</v>
      </c>
      <c r="E38" s="11">
        <f t="shared" si="1"/>
        <v>5.5804399763961232E-3</v>
      </c>
    </row>
    <row r="39" spans="1:5" x14ac:dyDescent="0.25">
      <c r="A39" s="66">
        <v>43774</v>
      </c>
      <c r="B39">
        <v>144.46000699999999</v>
      </c>
      <c r="C39">
        <v>8434.6796880000002</v>
      </c>
      <c r="D39" s="11">
        <f t="shared" si="0"/>
        <v>-6.2259424512089989E-4</v>
      </c>
      <c r="E39" s="11">
        <f t="shared" si="1"/>
        <v>1.7543672221576045E-4</v>
      </c>
    </row>
    <row r="40" spans="1:5" x14ac:dyDescent="0.25">
      <c r="A40" s="66">
        <v>43775</v>
      </c>
      <c r="B40">
        <v>144.05999800000001</v>
      </c>
      <c r="C40">
        <v>8410.6298829999996</v>
      </c>
      <c r="D40" s="11">
        <f t="shared" si="0"/>
        <v>-2.7689947432992801E-3</v>
      </c>
      <c r="E40" s="11">
        <f t="shared" si="1"/>
        <v>-2.8513003326274822E-3</v>
      </c>
    </row>
    <row r="41" spans="1:5" x14ac:dyDescent="0.25">
      <c r="A41" s="66">
        <v>43776</v>
      </c>
      <c r="B41">
        <v>144.259995</v>
      </c>
      <c r="C41">
        <v>8434.5195309999999</v>
      </c>
      <c r="D41" s="11">
        <f t="shared" si="0"/>
        <v>1.3882896208285977E-3</v>
      </c>
      <c r="E41" s="11">
        <f t="shared" si="1"/>
        <v>2.8404112810014315E-3</v>
      </c>
    </row>
    <row r="42" spans="1:5" x14ac:dyDescent="0.25">
      <c r="A42" s="66">
        <v>43777</v>
      </c>
      <c r="B42">
        <v>145.96000699999999</v>
      </c>
      <c r="C42">
        <v>8475.3095699999994</v>
      </c>
      <c r="D42" s="11">
        <f t="shared" si="0"/>
        <v>1.1784361977830393E-2</v>
      </c>
      <c r="E42" s="11">
        <f t="shared" si="1"/>
        <v>4.8360832943810106E-3</v>
      </c>
    </row>
    <row r="43" spans="1:5" x14ac:dyDescent="0.25">
      <c r="A43" s="66">
        <v>43780</v>
      </c>
      <c r="B43">
        <v>146.11000100000001</v>
      </c>
      <c r="C43">
        <v>8464.2802730000003</v>
      </c>
      <c r="D43" s="11">
        <f t="shared" si="0"/>
        <v>1.027637659677616E-3</v>
      </c>
      <c r="E43" s="11">
        <f t="shared" si="1"/>
        <v>-1.3013444416283271E-3</v>
      </c>
    </row>
    <row r="44" spans="1:5" x14ac:dyDescent="0.25">
      <c r="A44" s="66">
        <v>43781</v>
      </c>
      <c r="B44">
        <v>147.070007</v>
      </c>
      <c r="C44">
        <v>8486.0898440000001</v>
      </c>
      <c r="D44" s="11">
        <f t="shared" si="0"/>
        <v>6.570433190264513E-3</v>
      </c>
      <c r="E44" s="11">
        <f t="shared" si="1"/>
        <v>2.5766598336269819E-3</v>
      </c>
    </row>
    <row r="45" spans="1:5" x14ac:dyDescent="0.25">
      <c r="A45" s="66">
        <v>43782</v>
      </c>
      <c r="B45">
        <v>147.30999800000001</v>
      </c>
      <c r="C45">
        <v>8482.0996090000008</v>
      </c>
      <c r="D45" s="11">
        <f t="shared" si="0"/>
        <v>1.6318147044080966E-3</v>
      </c>
      <c r="E45" s="11">
        <f t="shared" si="1"/>
        <v>-4.7020890343518751E-4</v>
      </c>
    </row>
    <row r="46" spans="1:5" x14ac:dyDescent="0.25">
      <c r="A46" s="66">
        <v>43783</v>
      </c>
      <c r="B46">
        <v>148.05999800000001</v>
      </c>
      <c r="C46">
        <v>8479.0195309999999</v>
      </c>
      <c r="D46" s="11">
        <f t="shared" si="0"/>
        <v>5.0913041218016986E-3</v>
      </c>
      <c r="E46" s="11">
        <f t="shared" si="1"/>
        <v>-3.6312683674832869E-4</v>
      </c>
    </row>
    <row r="47" spans="1:5" x14ac:dyDescent="0.25">
      <c r="A47" s="66">
        <v>43784</v>
      </c>
      <c r="B47">
        <v>149.970001</v>
      </c>
      <c r="C47">
        <v>8540.8300780000009</v>
      </c>
      <c r="D47" s="11">
        <f t="shared" si="0"/>
        <v>1.2900196040796841E-2</v>
      </c>
      <c r="E47" s="11">
        <f t="shared" si="1"/>
        <v>7.2898224581292581E-3</v>
      </c>
    </row>
    <row r="48" spans="1:5" x14ac:dyDescent="0.25">
      <c r="A48" s="66">
        <v>43787</v>
      </c>
      <c r="B48">
        <v>150.33999600000001</v>
      </c>
      <c r="C48">
        <v>8549.9404300000006</v>
      </c>
      <c r="D48" s="11">
        <f t="shared" si="0"/>
        <v>2.4671267422344823E-3</v>
      </c>
      <c r="E48" s="11">
        <f t="shared" si="1"/>
        <v>1.0666822682103838E-3</v>
      </c>
    </row>
    <row r="49" spans="1:5" x14ac:dyDescent="0.25">
      <c r="A49" s="66">
        <v>43788</v>
      </c>
      <c r="B49">
        <v>150.38999899999999</v>
      </c>
      <c r="C49">
        <v>8570.6601559999999</v>
      </c>
      <c r="D49" s="11">
        <f t="shared" si="0"/>
        <v>3.3259945011554493E-4</v>
      </c>
      <c r="E49" s="11">
        <f t="shared" si="1"/>
        <v>2.4233766503563015E-3</v>
      </c>
    </row>
    <row r="50" spans="1:5" x14ac:dyDescent="0.25">
      <c r="A50" s="66">
        <v>43789</v>
      </c>
      <c r="B50">
        <v>149.61999499999999</v>
      </c>
      <c r="C50">
        <v>8526.7304690000001</v>
      </c>
      <c r="D50" s="11">
        <f t="shared" si="0"/>
        <v>-5.1200479095687701E-3</v>
      </c>
      <c r="E50" s="11">
        <f t="shared" si="1"/>
        <v>-5.1255896512529819E-3</v>
      </c>
    </row>
    <row r="51" spans="1:5" x14ac:dyDescent="0.25">
      <c r="A51" s="66">
        <v>43790</v>
      </c>
      <c r="B51">
        <v>149.479996</v>
      </c>
      <c r="C51">
        <v>8506.2099610000005</v>
      </c>
      <c r="D51" s="11">
        <f t="shared" si="0"/>
        <v>-9.3569713058727633E-4</v>
      </c>
      <c r="E51" s="11">
        <f t="shared" si="1"/>
        <v>-2.4066092008659945E-3</v>
      </c>
    </row>
    <row r="52" spans="1:5" x14ac:dyDescent="0.25">
      <c r="A52" s="66">
        <v>43791</v>
      </c>
      <c r="B52">
        <v>149.58999600000001</v>
      </c>
      <c r="C52">
        <v>8519.8798829999996</v>
      </c>
      <c r="D52" s="11">
        <f t="shared" si="0"/>
        <v>7.3588441894267831E-4</v>
      </c>
      <c r="E52" s="11">
        <f t="shared" si="1"/>
        <v>1.6070520317126302E-3</v>
      </c>
    </row>
    <row r="53" spans="1:5" x14ac:dyDescent="0.25">
      <c r="A53" s="66">
        <v>43794</v>
      </c>
      <c r="B53">
        <v>151.229996</v>
      </c>
      <c r="C53">
        <v>8632.4902340000008</v>
      </c>
      <c r="D53" s="11">
        <f t="shared" si="0"/>
        <v>1.0963299978963725E-2</v>
      </c>
      <c r="E53" s="11">
        <f t="shared" si="1"/>
        <v>1.321736368897608E-2</v>
      </c>
    </row>
    <row r="54" spans="1:5" x14ac:dyDescent="0.25">
      <c r="A54" s="66">
        <v>43795</v>
      </c>
      <c r="B54">
        <v>152.029999</v>
      </c>
      <c r="C54">
        <v>8647.9296880000002</v>
      </c>
      <c r="D54" s="11">
        <f t="shared" si="0"/>
        <v>5.2899756738735704E-3</v>
      </c>
      <c r="E54" s="11">
        <f t="shared" si="1"/>
        <v>1.7885284062284512E-3</v>
      </c>
    </row>
    <row r="55" spans="1:5" x14ac:dyDescent="0.25">
      <c r="A55" s="66">
        <v>43796</v>
      </c>
      <c r="B55">
        <v>152.320007</v>
      </c>
      <c r="C55">
        <v>8705.1796880000002</v>
      </c>
      <c r="D55" s="11">
        <f t="shared" si="0"/>
        <v>1.9075708867168917E-3</v>
      </c>
      <c r="E55" s="11">
        <f t="shared" si="1"/>
        <v>6.6200815762229581E-3</v>
      </c>
    </row>
    <row r="56" spans="1:5" x14ac:dyDescent="0.25">
      <c r="A56" s="66">
        <v>43798</v>
      </c>
      <c r="B56">
        <v>151.38000500000001</v>
      </c>
      <c r="C56">
        <v>8665.4697269999997</v>
      </c>
      <c r="D56" s="11">
        <f t="shared" si="0"/>
        <v>-6.1712313340426261E-3</v>
      </c>
      <c r="E56" s="11">
        <f t="shared" si="1"/>
        <v>-4.5616474815264318E-3</v>
      </c>
    </row>
    <row r="57" spans="1:5" x14ac:dyDescent="0.25">
      <c r="A57" s="66">
        <v>43801</v>
      </c>
      <c r="B57">
        <v>149.550003</v>
      </c>
      <c r="C57">
        <v>8567.9902340000008</v>
      </c>
      <c r="D57" s="11">
        <f t="shared" si="0"/>
        <v>-1.2088796007108105E-2</v>
      </c>
      <c r="E57" s="11">
        <f t="shared" si="1"/>
        <v>-1.1249187415226958E-2</v>
      </c>
    </row>
    <row r="58" spans="1:5" x14ac:dyDescent="0.25">
      <c r="A58" s="66">
        <v>43802</v>
      </c>
      <c r="B58">
        <v>149.30999800000001</v>
      </c>
      <c r="C58">
        <v>8520.6396480000003</v>
      </c>
      <c r="D58" s="11">
        <f t="shared" si="0"/>
        <v>-1.6048478447706627E-3</v>
      </c>
      <c r="E58" s="11">
        <f t="shared" si="1"/>
        <v>-5.5264519107527388E-3</v>
      </c>
    </row>
    <row r="59" spans="1:5" x14ac:dyDescent="0.25">
      <c r="A59" s="66">
        <v>43803</v>
      </c>
      <c r="B59">
        <v>149.85000600000001</v>
      </c>
      <c r="C59">
        <v>8566.6699219999991</v>
      </c>
      <c r="D59" s="11">
        <f t="shared" si="0"/>
        <v>3.6166901562746379E-3</v>
      </c>
      <c r="E59" s="11">
        <f t="shared" si="1"/>
        <v>5.4022087427207932E-3</v>
      </c>
    </row>
    <row r="60" spans="1:5" x14ac:dyDescent="0.25">
      <c r="A60" s="66">
        <v>43804</v>
      </c>
      <c r="B60">
        <v>149.929993</v>
      </c>
      <c r="C60">
        <v>8570.7001949999994</v>
      </c>
      <c r="D60" s="11">
        <f t="shared" si="0"/>
        <v>5.3378042574103723E-4</v>
      </c>
      <c r="E60" s="11">
        <f t="shared" si="1"/>
        <v>4.7045970449377528E-4</v>
      </c>
    </row>
    <row r="61" spans="1:5" x14ac:dyDescent="0.25">
      <c r="A61" s="66">
        <v>43805</v>
      </c>
      <c r="B61">
        <v>151.75</v>
      </c>
      <c r="C61">
        <v>8656.5302730000003</v>
      </c>
      <c r="D61" s="11">
        <f t="shared" si="0"/>
        <v>1.2139045454367503E-2</v>
      </c>
      <c r="E61" s="11">
        <f t="shared" si="1"/>
        <v>1.0014360092781338E-2</v>
      </c>
    </row>
    <row r="62" spans="1:5" x14ac:dyDescent="0.25">
      <c r="A62" s="66">
        <v>43808</v>
      </c>
      <c r="B62">
        <v>151.36000100000001</v>
      </c>
      <c r="C62">
        <v>8621.8300780000009</v>
      </c>
      <c r="D62" s="11">
        <f t="shared" si="0"/>
        <v>-2.5700098846787034E-3</v>
      </c>
      <c r="E62" s="11">
        <f t="shared" si="1"/>
        <v>-4.0085569975109037E-3</v>
      </c>
    </row>
    <row r="63" spans="1:5" x14ac:dyDescent="0.25">
      <c r="A63" s="66">
        <v>43809</v>
      </c>
      <c r="B63">
        <v>151.13000500000001</v>
      </c>
      <c r="C63">
        <v>8616.1796880000002</v>
      </c>
      <c r="D63" s="11">
        <f t="shared" si="0"/>
        <v>-1.5195295882695081E-3</v>
      </c>
      <c r="E63" s="11">
        <f t="shared" si="1"/>
        <v>-6.5535854324227927E-4</v>
      </c>
    </row>
    <row r="64" spans="1:5" x14ac:dyDescent="0.25">
      <c r="A64" s="66">
        <v>43810</v>
      </c>
      <c r="B64">
        <v>151.699997</v>
      </c>
      <c r="C64">
        <v>8654.0498050000006</v>
      </c>
      <c r="D64" s="11">
        <f t="shared" si="0"/>
        <v>3.7715343157700421E-3</v>
      </c>
      <c r="E64" s="11">
        <f t="shared" si="1"/>
        <v>4.395232965341167E-3</v>
      </c>
    </row>
    <row r="65" spans="1:5" x14ac:dyDescent="0.25">
      <c r="A65" s="66">
        <v>43811</v>
      </c>
      <c r="B65">
        <v>153.240005</v>
      </c>
      <c r="C65">
        <v>8717.3203130000002</v>
      </c>
      <c r="D65" s="11">
        <f t="shared" si="0"/>
        <v>1.0151667966084466E-2</v>
      </c>
      <c r="E65" s="11">
        <f t="shared" si="1"/>
        <v>7.3110866502574812E-3</v>
      </c>
    </row>
    <row r="66" spans="1:5" x14ac:dyDescent="0.25">
      <c r="A66" s="66">
        <v>43812</v>
      </c>
      <c r="B66">
        <v>154.529999</v>
      </c>
      <c r="C66">
        <v>8734.8798829999996</v>
      </c>
      <c r="D66" s="11">
        <f t="shared" si="0"/>
        <v>8.4181281513271422E-3</v>
      </c>
      <c r="E66" s="11">
        <f t="shared" si="1"/>
        <v>2.0143311670919317E-3</v>
      </c>
    </row>
    <row r="67" spans="1:5" x14ac:dyDescent="0.25">
      <c r="A67" s="66">
        <v>43815</v>
      </c>
      <c r="B67">
        <v>155.529999</v>
      </c>
      <c r="C67">
        <v>8814.2304690000001</v>
      </c>
      <c r="D67" s="11">
        <f t="shared" si="0"/>
        <v>6.4712354007068207E-3</v>
      </c>
      <c r="E67" s="11">
        <f t="shared" si="1"/>
        <v>9.0843362545183215E-3</v>
      </c>
    </row>
    <row r="68" spans="1:5" x14ac:dyDescent="0.25">
      <c r="A68" s="66">
        <v>43816</v>
      </c>
      <c r="B68">
        <v>154.69000199999999</v>
      </c>
      <c r="C68">
        <v>8823.3603519999997</v>
      </c>
      <c r="D68" s="11">
        <f t="shared" ref="D68:D131" si="2">B68/B67-1</f>
        <v>-5.4008680344684867E-3</v>
      </c>
      <c r="E68" s="11">
        <f t="shared" ref="E68:E131" si="3">C68/C67-1</f>
        <v>1.0358116947486451E-3</v>
      </c>
    </row>
    <row r="69" spans="1:5" x14ac:dyDescent="0.25">
      <c r="A69" s="66">
        <v>43817</v>
      </c>
      <c r="B69">
        <v>154.36999499999999</v>
      </c>
      <c r="C69">
        <v>8827.7402340000008</v>
      </c>
      <c r="D69" s="11">
        <f t="shared" si="2"/>
        <v>-2.0686986609516067E-3</v>
      </c>
      <c r="E69" s="11">
        <f t="shared" si="3"/>
        <v>4.9639613766983004E-4</v>
      </c>
    </row>
    <row r="70" spans="1:5" x14ac:dyDescent="0.25">
      <c r="A70" s="66">
        <v>43818</v>
      </c>
      <c r="B70">
        <v>155.71000699999999</v>
      </c>
      <c r="C70">
        <v>8887.2197269999997</v>
      </c>
      <c r="D70" s="11">
        <f t="shared" si="2"/>
        <v>8.6805211077449762E-3</v>
      </c>
      <c r="E70" s="11">
        <f t="shared" si="3"/>
        <v>6.7377937528014797E-3</v>
      </c>
    </row>
    <row r="71" spans="1:5" x14ac:dyDescent="0.25">
      <c r="A71" s="66">
        <v>43819</v>
      </c>
      <c r="B71">
        <v>157.41000399999999</v>
      </c>
      <c r="C71">
        <v>8924.9599610000005</v>
      </c>
      <c r="D71" s="11">
        <f t="shared" si="2"/>
        <v>1.0917711923293494E-2</v>
      </c>
      <c r="E71" s="11">
        <f t="shared" si="3"/>
        <v>4.2465737496444333E-3</v>
      </c>
    </row>
    <row r="72" spans="1:5" x14ac:dyDescent="0.25">
      <c r="A72" s="66">
        <v>43822</v>
      </c>
      <c r="B72">
        <v>157.41000399999999</v>
      </c>
      <c r="C72">
        <v>8945.6503909999992</v>
      </c>
      <c r="D72" s="11">
        <f t="shared" si="2"/>
        <v>0</v>
      </c>
      <c r="E72" s="11">
        <f t="shared" si="3"/>
        <v>2.3182658623019936E-3</v>
      </c>
    </row>
    <row r="73" spans="1:5" x14ac:dyDescent="0.25">
      <c r="A73" s="66">
        <v>43823</v>
      </c>
      <c r="B73">
        <v>157.38000500000001</v>
      </c>
      <c r="C73">
        <v>8952.8798829999996</v>
      </c>
      <c r="D73" s="11">
        <f t="shared" si="2"/>
        <v>-1.9057873856587193E-4</v>
      </c>
      <c r="E73" s="11">
        <f t="shared" si="3"/>
        <v>8.0815722546834223E-4</v>
      </c>
    </row>
    <row r="74" spans="1:5" x14ac:dyDescent="0.25">
      <c r="A74" s="66">
        <v>43825</v>
      </c>
      <c r="B74">
        <v>158.66999799999999</v>
      </c>
      <c r="C74">
        <v>9022.3896480000003</v>
      </c>
      <c r="D74" s="11">
        <f t="shared" si="2"/>
        <v>8.1966765727321533E-3</v>
      </c>
      <c r="E74" s="11">
        <f t="shared" si="3"/>
        <v>7.7639559458391183E-3</v>
      </c>
    </row>
    <row r="75" spans="1:5" x14ac:dyDescent="0.25">
      <c r="A75" s="66">
        <v>43826</v>
      </c>
      <c r="B75">
        <v>158.96000699999999</v>
      </c>
      <c r="C75">
        <v>9006.6201170000004</v>
      </c>
      <c r="D75" s="11">
        <f t="shared" si="2"/>
        <v>1.8277494400673611E-3</v>
      </c>
      <c r="E75" s="11">
        <f t="shared" si="3"/>
        <v>-1.7478219867721467E-3</v>
      </c>
    </row>
    <row r="76" spans="1:5" x14ac:dyDescent="0.25">
      <c r="A76" s="66">
        <v>43829</v>
      </c>
      <c r="B76">
        <v>157.58999600000001</v>
      </c>
      <c r="C76">
        <v>8945.9902340000008</v>
      </c>
      <c r="D76" s="11">
        <f t="shared" si="2"/>
        <v>-8.6185892027544897E-3</v>
      </c>
      <c r="E76" s="11">
        <f t="shared" si="3"/>
        <v>-6.7317020383218518E-3</v>
      </c>
    </row>
    <row r="77" spans="1:5" x14ac:dyDescent="0.25">
      <c r="A77" s="66">
        <v>43830</v>
      </c>
      <c r="B77">
        <v>157.699997</v>
      </c>
      <c r="C77">
        <v>8972.5996090000008</v>
      </c>
      <c r="D77" s="11">
        <f t="shared" si="2"/>
        <v>6.9802019666265203E-4</v>
      </c>
      <c r="E77" s="11">
        <f t="shared" si="3"/>
        <v>2.9744471326236255E-3</v>
      </c>
    </row>
    <row r="78" spans="1:5" x14ac:dyDescent="0.25">
      <c r="A78" s="66">
        <v>43832</v>
      </c>
      <c r="B78">
        <v>160.61999499999999</v>
      </c>
      <c r="C78">
        <v>9092.1904300000006</v>
      </c>
      <c r="D78" s="11">
        <f t="shared" si="2"/>
        <v>1.8516157612862738E-2</v>
      </c>
      <c r="E78" s="11">
        <f t="shared" si="3"/>
        <v>1.3328447296371504E-2</v>
      </c>
    </row>
    <row r="79" spans="1:5" x14ac:dyDescent="0.25">
      <c r="A79" s="66">
        <v>43833</v>
      </c>
      <c r="B79">
        <v>158.61999499999999</v>
      </c>
      <c r="C79">
        <v>9020.7695309999999</v>
      </c>
      <c r="D79" s="11">
        <f t="shared" si="2"/>
        <v>-1.2451749858415795E-2</v>
      </c>
      <c r="E79" s="11">
        <f t="shared" si="3"/>
        <v>-7.855191721935828E-3</v>
      </c>
    </row>
    <row r="80" spans="1:5" x14ac:dyDescent="0.25">
      <c r="A80" s="66">
        <v>43836</v>
      </c>
      <c r="B80">
        <v>159.029999</v>
      </c>
      <c r="C80">
        <v>9071.4697269999997</v>
      </c>
      <c r="D80" s="11">
        <f t="shared" si="2"/>
        <v>2.5848191459092451E-3</v>
      </c>
      <c r="E80" s="11">
        <f t="shared" si="3"/>
        <v>5.6203848048403948E-3</v>
      </c>
    </row>
    <row r="81" spans="1:5" x14ac:dyDescent="0.25">
      <c r="A81" s="66">
        <v>43837</v>
      </c>
      <c r="B81">
        <v>157.58000200000001</v>
      </c>
      <c r="C81">
        <v>9068.5800780000009</v>
      </c>
      <c r="D81" s="11">
        <f t="shared" si="2"/>
        <v>-9.1177577131217324E-3</v>
      </c>
      <c r="E81" s="11">
        <f t="shared" si="3"/>
        <v>-3.18542539077038E-4</v>
      </c>
    </row>
    <row r="82" spans="1:5" x14ac:dyDescent="0.25">
      <c r="A82" s="66">
        <v>43838</v>
      </c>
      <c r="B82">
        <v>160.08999600000001</v>
      </c>
      <c r="C82">
        <v>9129.2402340000008</v>
      </c>
      <c r="D82" s="11">
        <f t="shared" si="2"/>
        <v>1.5928379033781193E-2</v>
      </c>
      <c r="E82" s="11">
        <f t="shared" si="3"/>
        <v>6.6890467392088926E-3</v>
      </c>
    </row>
    <row r="83" spans="1:5" x14ac:dyDescent="0.25">
      <c r="A83" s="66">
        <v>43839</v>
      </c>
      <c r="B83">
        <v>162.08999600000001</v>
      </c>
      <c r="C83">
        <v>9203.4296880000002</v>
      </c>
      <c r="D83" s="11">
        <f t="shared" si="2"/>
        <v>1.2492973015003406E-2</v>
      </c>
      <c r="E83" s="11">
        <f t="shared" si="3"/>
        <v>8.1265748406638139E-3</v>
      </c>
    </row>
    <row r="84" spans="1:5" x14ac:dyDescent="0.25">
      <c r="A84" s="66">
        <v>43840</v>
      </c>
      <c r="B84">
        <v>161.33999600000001</v>
      </c>
      <c r="C84">
        <v>9178.8603519999997</v>
      </c>
      <c r="D84" s="11">
        <f t="shared" si="2"/>
        <v>-4.6270591554583573E-3</v>
      </c>
      <c r="E84" s="11">
        <f t="shared" si="3"/>
        <v>-2.6695847996791588E-3</v>
      </c>
    </row>
    <row r="85" spans="1:5" x14ac:dyDescent="0.25">
      <c r="A85" s="66">
        <v>43843</v>
      </c>
      <c r="B85">
        <v>163.279999</v>
      </c>
      <c r="C85">
        <v>9273.9296880000002</v>
      </c>
      <c r="D85" s="11">
        <f t="shared" si="2"/>
        <v>1.2024315409056907E-2</v>
      </c>
      <c r="E85" s="11">
        <f t="shared" si="3"/>
        <v>1.0357422637907954E-2</v>
      </c>
    </row>
    <row r="86" spans="1:5" x14ac:dyDescent="0.25">
      <c r="A86" s="66">
        <v>43844</v>
      </c>
      <c r="B86">
        <v>162.13000500000001</v>
      </c>
      <c r="C86">
        <v>9251.3300780000009</v>
      </c>
      <c r="D86" s="11">
        <f t="shared" si="2"/>
        <v>-7.0430794159913601E-3</v>
      </c>
      <c r="E86" s="11">
        <f t="shared" si="3"/>
        <v>-2.4368968452760376E-3</v>
      </c>
    </row>
    <row r="87" spans="1:5" x14ac:dyDescent="0.25">
      <c r="A87" s="66">
        <v>43845</v>
      </c>
      <c r="B87">
        <v>163.179993</v>
      </c>
      <c r="C87">
        <v>9258.7001949999994</v>
      </c>
      <c r="D87" s="11">
        <f t="shared" si="2"/>
        <v>6.4762102486828343E-3</v>
      </c>
      <c r="E87" s="11">
        <f t="shared" si="3"/>
        <v>7.9665485263835656E-4</v>
      </c>
    </row>
    <row r="88" spans="1:5" x14ac:dyDescent="0.25">
      <c r="A88" s="66">
        <v>43846</v>
      </c>
      <c r="B88">
        <v>166.16999799999999</v>
      </c>
      <c r="C88">
        <v>9357.1298829999996</v>
      </c>
      <c r="D88" s="11">
        <f t="shared" si="2"/>
        <v>1.8323355363791372E-2</v>
      </c>
      <c r="E88" s="11">
        <f t="shared" si="3"/>
        <v>1.0631048195421045E-2</v>
      </c>
    </row>
    <row r="89" spans="1:5" x14ac:dyDescent="0.25">
      <c r="A89" s="66">
        <v>43847</v>
      </c>
      <c r="B89">
        <v>167.10000600000001</v>
      </c>
      <c r="C89">
        <v>9388.9404300000006</v>
      </c>
      <c r="D89" s="11">
        <f t="shared" si="2"/>
        <v>5.5967263115692667E-3</v>
      </c>
      <c r="E89" s="11">
        <f t="shared" si="3"/>
        <v>3.3996051564695318E-3</v>
      </c>
    </row>
    <row r="90" spans="1:5" x14ac:dyDescent="0.25">
      <c r="A90" s="66">
        <v>43851</v>
      </c>
      <c r="B90">
        <v>166.5</v>
      </c>
      <c r="C90">
        <v>9370.8095699999994</v>
      </c>
      <c r="D90" s="11">
        <f t="shared" si="2"/>
        <v>-3.590700050603246E-3</v>
      </c>
      <c r="E90" s="11">
        <f t="shared" si="3"/>
        <v>-1.9310869139257392E-3</v>
      </c>
    </row>
    <row r="91" spans="1:5" x14ac:dyDescent="0.25">
      <c r="A91" s="66">
        <v>43852</v>
      </c>
      <c r="B91">
        <v>165.699997</v>
      </c>
      <c r="C91">
        <v>9383.7695309999999</v>
      </c>
      <c r="D91" s="11">
        <f t="shared" si="2"/>
        <v>-4.8048228228227963E-3</v>
      </c>
      <c r="E91" s="11">
        <f t="shared" si="3"/>
        <v>1.3830140184996065E-3</v>
      </c>
    </row>
    <row r="92" spans="1:5" x14ac:dyDescent="0.25">
      <c r="A92" s="66">
        <v>43853</v>
      </c>
      <c r="B92">
        <v>166.720001</v>
      </c>
      <c r="C92">
        <v>9402.4804690000001</v>
      </c>
      <c r="D92" s="11">
        <f t="shared" si="2"/>
        <v>6.155727329313132E-3</v>
      </c>
      <c r="E92" s="11">
        <f t="shared" si="3"/>
        <v>1.9939681956369082E-3</v>
      </c>
    </row>
    <row r="93" spans="1:5" x14ac:dyDescent="0.25">
      <c r="A93" s="66">
        <v>43854</v>
      </c>
      <c r="B93">
        <v>165.03999300000001</v>
      </c>
      <c r="C93">
        <v>9314.9101559999999</v>
      </c>
      <c r="D93" s="11">
        <f t="shared" si="2"/>
        <v>-1.0076823356065079E-2</v>
      </c>
      <c r="E93" s="11">
        <f t="shared" si="3"/>
        <v>-9.3135330925407933E-3</v>
      </c>
    </row>
    <row r="94" spans="1:5" x14ac:dyDescent="0.25">
      <c r="A94" s="66">
        <v>43857</v>
      </c>
      <c r="B94">
        <v>162.279999</v>
      </c>
      <c r="C94">
        <v>9139.3095699999994</v>
      </c>
      <c r="D94" s="11">
        <f t="shared" si="2"/>
        <v>-1.6723182968142791E-2</v>
      </c>
      <c r="E94" s="11">
        <f t="shared" si="3"/>
        <v>-1.8851559817449348E-2</v>
      </c>
    </row>
    <row r="95" spans="1:5" x14ac:dyDescent="0.25">
      <c r="A95" s="66">
        <v>43858</v>
      </c>
      <c r="B95">
        <v>165.46000699999999</v>
      </c>
      <c r="C95">
        <v>9269.6796880000002</v>
      </c>
      <c r="D95" s="11">
        <f t="shared" si="2"/>
        <v>1.9595809832362532E-2</v>
      </c>
      <c r="E95" s="11">
        <f t="shared" si="3"/>
        <v>1.4264766610810886E-2</v>
      </c>
    </row>
    <row r="96" spans="1:5" x14ac:dyDescent="0.25">
      <c r="A96" s="66">
        <v>43859</v>
      </c>
      <c r="B96">
        <v>168.03999300000001</v>
      </c>
      <c r="C96">
        <v>9275.1601559999999</v>
      </c>
      <c r="D96" s="11">
        <f t="shared" si="2"/>
        <v>1.5592807269735109E-2</v>
      </c>
      <c r="E96" s="11">
        <f t="shared" si="3"/>
        <v>5.9122517546050801E-4</v>
      </c>
    </row>
    <row r="97" spans="1:5" x14ac:dyDescent="0.25">
      <c r="A97" s="66">
        <v>43860</v>
      </c>
      <c r="B97">
        <v>172.779999</v>
      </c>
      <c r="C97">
        <v>9298.9296880000002</v>
      </c>
      <c r="D97" s="11">
        <f t="shared" si="2"/>
        <v>2.8207606507100857E-2</v>
      </c>
      <c r="E97" s="11">
        <f t="shared" si="3"/>
        <v>2.5627085247281745E-3</v>
      </c>
    </row>
    <row r="98" spans="1:5" x14ac:dyDescent="0.25">
      <c r="A98" s="66">
        <v>43861</v>
      </c>
      <c r="B98">
        <v>170.229996</v>
      </c>
      <c r="C98">
        <v>9150.9404300000006</v>
      </c>
      <c r="D98" s="11">
        <f t="shared" si="2"/>
        <v>-1.4758670070370794E-2</v>
      </c>
      <c r="E98" s="11">
        <f t="shared" si="3"/>
        <v>-1.5914655015724644E-2</v>
      </c>
    </row>
    <row r="99" spans="1:5" x14ac:dyDescent="0.25">
      <c r="A99" s="66">
        <v>43864</v>
      </c>
      <c r="B99">
        <v>174.38000500000001</v>
      </c>
      <c r="C99">
        <v>9273.4003909999992</v>
      </c>
      <c r="D99" s="11">
        <f t="shared" si="2"/>
        <v>2.4378835090849815E-2</v>
      </c>
      <c r="E99" s="11">
        <f t="shared" si="3"/>
        <v>1.338222688004076E-2</v>
      </c>
    </row>
    <row r="100" spans="1:5" x14ac:dyDescent="0.25">
      <c r="A100" s="66">
        <v>43865</v>
      </c>
      <c r="B100">
        <v>180.11999499999999</v>
      </c>
      <c r="C100">
        <v>9467.9697269999997</v>
      </c>
      <c r="D100" s="11">
        <f t="shared" si="2"/>
        <v>3.2916560588468702E-2</v>
      </c>
      <c r="E100" s="11">
        <f t="shared" si="3"/>
        <v>2.0981444539894367E-2</v>
      </c>
    </row>
    <row r="101" spans="1:5" x14ac:dyDescent="0.25">
      <c r="A101" s="66">
        <v>43866</v>
      </c>
      <c r="B101">
        <v>179.89999399999999</v>
      </c>
      <c r="C101">
        <v>9508.6796880000002</v>
      </c>
      <c r="D101" s="11">
        <f t="shared" si="2"/>
        <v>-1.2214135360152367E-3</v>
      </c>
      <c r="E101" s="11">
        <f t="shared" si="3"/>
        <v>4.2997561434852116E-3</v>
      </c>
    </row>
    <row r="102" spans="1:5" x14ac:dyDescent="0.25">
      <c r="A102" s="66">
        <v>43867</v>
      </c>
      <c r="B102">
        <v>183.63000500000001</v>
      </c>
      <c r="C102">
        <v>9572.1503909999992</v>
      </c>
      <c r="D102" s="11">
        <f t="shared" si="2"/>
        <v>2.0733802803795554E-2</v>
      </c>
      <c r="E102" s="11">
        <f t="shared" si="3"/>
        <v>6.6750279831278014E-3</v>
      </c>
    </row>
    <row r="103" spans="1:5" x14ac:dyDescent="0.25">
      <c r="A103" s="66">
        <v>43868</v>
      </c>
      <c r="B103">
        <v>183.88999899999999</v>
      </c>
      <c r="C103">
        <v>9520.5097659999992</v>
      </c>
      <c r="D103" s="11">
        <f t="shared" si="2"/>
        <v>1.4158579367242741E-3</v>
      </c>
      <c r="E103" s="11">
        <f t="shared" si="3"/>
        <v>-5.3948823295290049E-3</v>
      </c>
    </row>
    <row r="104" spans="1:5" x14ac:dyDescent="0.25">
      <c r="A104" s="66">
        <v>43871</v>
      </c>
      <c r="B104">
        <v>188.699997</v>
      </c>
      <c r="C104">
        <v>9628.3896480000003</v>
      </c>
      <c r="D104" s="11">
        <f t="shared" si="2"/>
        <v>2.6156930916074517E-2</v>
      </c>
      <c r="E104" s="11">
        <f t="shared" si="3"/>
        <v>1.1331313622014783E-2</v>
      </c>
    </row>
    <row r="105" spans="1:5" x14ac:dyDescent="0.25">
      <c r="A105" s="66">
        <v>43872</v>
      </c>
      <c r="B105">
        <v>184.44000199999999</v>
      </c>
      <c r="C105">
        <v>9638.9404300000006</v>
      </c>
      <c r="D105" s="11">
        <f t="shared" si="2"/>
        <v>-2.2575490554989308E-2</v>
      </c>
      <c r="E105" s="11">
        <f t="shared" si="3"/>
        <v>1.0957992339031275E-3</v>
      </c>
    </row>
    <row r="106" spans="1:5" x14ac:dyDescent="0.25">
      <c r="A106" s="66">
        <v>43873</v>
      </c>
      <c r="B106">
        <v>184.71000699999999</v>
      </c>
      <c r="C106">
        <v>9725.9599610000005</v>
      </c>
      <c r="D106" s="11">
        <f t="shared" si="2"/>
        <v>1.4639177893740474E-3</v>
      </c>
      <c r="E106" s="11">
        <f t="shared" si="3"/>
        <v>9.0279145962104401E-3</v>
      </c>
    </row>
    <row r="107" spans="1:5" x14ac:dyDescent="0.25">
      <c r="A107" s="66">
        <v>43874</v>
      </c>
      <c r="B107">
        <v>183.71000699999999</v>
      </c>
      <c r="C107">
        <v>9711.9697269999997</v>
      </c>
      <c r="D107" s="11">
        <f t="shared" si="2"/>
        <v>-5.4138918418209503E-3</v>
      </c>
      <c r="E107" s="11">
        <f t="shared" si="3"/>
        <v>-1.4384424834258391E-3</v>
      </c>
    </row>
    <row r="108" spans="1:5" x14ac:dyDescent="0.25">
      <c r="A108" s="66">
        <v>43875</v>
      </c>
      <c r="B108">
        <v>185.35000600000001</v>
      </c>
      <c r="C108">
        <v>9731.1796880000002</v>
      </c>
      <c r="D108" s="11">
        <f t="shared" si="2"/>
        <v>8.9271076017105599E-3</v>
      </c>
      <c r="E108" s="11">
        <f t="shared" si="3"/>
        <v>1.977967553440374E-3</v>
      </c>
    </row>
    <row r="109" spans="1:5" x14ac:dyDescent="0.25">
      <c r="A109" s="66">
        <v>43879</v>
      </c>
      <c r="B109">
        <v>187.229996</v>
      </c>
      <c r="C109">
        <v>9732.7402340000008</v>
      </c>
      <c r="D109" s="11">
        <f t="shared" si="2"/>
        <v>1.0142918473927676E-2</v>
      </c>
      <c r="E109" s="11">
        <f t="shared" si="3"/>
        <v>1.6036555176612843E-4</v>
      </c>
    </row>
    <row r="110" spans="1:5" x14ac:dyDescent="0.25">
      <c r="A110" s="66">
        <v>43880</v>
      </c>
      <c r="B110">
        <v>187.279999</v>
      </c>
      <c r="C110">
        <v>9817.1796880000002</v>
      </c>
      <c r="D110" s="11">
        <f t="shared" si="2"/>
        <v>2.6706724920289027E-4</v>
      </c>
      <c r="E110" s="11">
        <f t="shared" si="3"/>
        <v>8.6758150294632408E-3</v>
      </c>
    </row>
    <row r="111" spans="1:5" x14ac:dyDescent="0.25">
      <c r="A111" s="66">
        <v>43881</v>
      </c>
      <c r="B111">
        <v>184.41999799999999</v>
      </c>
      <c r="C111">
        <v>9750.9697269999997</v>
      </c>
      <c r="D111" s="11">
        <f t="shared" si="2"/>
        <v>-1.5271257023020457E-2</v>
      </c>
      <c r="E111" s="11">
        <f t="shared" si="3"/>
        <v>-6.7442955211395317E-3</v>
      </c>
    </row>
    <row r="112" spans="1:5" x14ac:dyDescent="0.25">
      <c r="A112" s="66">
        <v>43882</v>
      </c>
      <c r="B112">
        <v>178.58999600000001</v>
      </c>
      <c r="C112">
        <v>9576.5898440000001</v>
      </c>
      <c r="D112" s="11">
        <f t="shared" si="2"/>
        <v>-3.161263454736607E-2</v>
      </c>
      <c r="E112" s="11">
        <f t="shared" si="3"/>
        <v>-1.7883337543049604E-2</v>
      </c>
    </row>
    <row r="113" spans="1:5" x14ac:dyDescent="0.25">
      <c r="A113" s="66">
        <v>43885</v>
      </c>
      <c r="B113">
        <v>170.88999899999999</v>
      </c>
      <c r="C113">
        <v>9221.2802730000003</v>
      </c>
      <c r="D113" s="11">
        <f t="shared" si="2"/>
        <v>-4.3115500153771302E-2</v>
      </c>
      <c r="E113" s="11">
        <f t="shared" si="3"/>
        <v>-3.7101888750368794E-2</v>
      </c>
    </row>
    <row r="114" spans="1:5" x14ac:dyDescent="0.25">
      <c r="A114" s="66">
        <v>43886</v>
      </c>
      <c r="B114">
        <v>168.070007</v>
      </c>
      <c r="C114">
        <v>8965.6103519999997</v>
      </c>
      <c r="D114" s="11">
        <f t="shared" si="2"/>
        <v>-1.6501796573829886E-2</v>
      </c>
      <c r="E114" s="11">
        <f t="shared" si="3"/>
        <v>-2.7726076361500929E-2</v>
      </c>
    </row>
    <row r="115" spans="1:5" x14ac:dyDescent="0.25">
      <c r="A115" s="66">
        <v>43887</v>
      </c>
      <c r="B115">
        <v>170.16999799999999</v>
      </c>
      <c r="C115">
        <v>8980.7802730000003</v>
      </c>
      <c r="D115" s="11">
        <f t="shared" si="2"/>
        <v>1.249473976638793E-2</v>
      </c>
      <c r="E115" s="11">
        <f t="shared" si="3"/>
        <v>1.6920120777517145E-3</v>
      </c>
    </row>
    <row r="116" spans="1:5" x14ac:dyDescent="0.25">
      <c r="A116" s="66">
        <v>43888</v>
      </c>
      <c r="B116">
        <v>158.179993</v>
      </c>
      <c r="C116">
        <v>8566.4804690000001</v>
      </c>
      <c r="D116" s="11">
        <f t="shared" si="2"/>
        <v>-7.0458983022377408E-2</v>
      </c>
      <c r="E116" s="11">
        <f t="shared" si="3"/>
        <v>-4.6131827236165601E-2</v>
      </c>
    </row>
    <row r="117" spans="1:5" x14ac:dyDescent="0.25">
      <c r="A117" s="66">
        <v>43889</v>
      </c>
      <c r="B117">
        <v>162.009995</v>
      </c>
      <c r="C117">
        <v>8567.3701170000004</v>
      </c>
      <c r="D117" s="11">
        <f t="shared" si="2"/>
        <v>2.4212935702936811E-2</v>
      </c>
      <c r="E117" s="11">
        <f t="shared" si="3"/>
        <v>1.0385221833164593E-4</v>
      </c>
    </row>
    <row r="118" spans="1:5" x14ac:dyDescent="0.25">
      <c r="A118" s="66">
        <v>43892</v>
      </c>
      <c r="B118">
        <v>172.78999300000001</v>
      </c>
      <c r="C118">
        <v>8952.1699219999991</v>
      </c>
      <c r="D118" s="11">
        <f t="shared" si="2"/>
        <v>6.6539092233167452E-2</v>
      </c>
      <c r="E118" s="11">
        <f t="shared" si="3"/>
        <v>4.491457702246926E-2</v>
      </c>
    </row>
    <row r="119" spans="1:5" x14ac:dyDescent="0.25">
      <c r="A119" s="66">
        <v>43893</v>
      </c>
      <c r="B119">
        <v>164.509995</v>
      </c>
      <c r="C119">
        <v>8684.0898440000001</v>
      </c>
      <c r="D119" s="11">
        <f t="shared" si="2"/>
        <v>-4.7919430148943953E-2</v>
      </c>
      <c r="E119" s="11">
        <f t="shared" si="3"/>
        <v>-2.9945820994884298E-2</v>
      </c>
    </row>
    <row r="120" spans="1:5" x14ac:dyDescent="0.25">
      <c r="A120" s="66">
        <v>43894</v>
      </c>
      <c r="B120">
        <v>170.550003</v>
      </c>
      <c r="C120">
        <v>9018.0898440000001</v>
      </c>
      <c r="D120" s="11">
        <f t="shared" si="2"/>
        <v>3.67151430525543E-2</v>
      </c>
      <c r="E120" s="11">
        <f t="shared" si="3"/>
        <v>3.8461140545519301E-2</v>
      </c>
    </row>
    <row r="121" spans="1:5" x14ac:dyDescent="0.25">
      <c r="A121" s="66">
        <v>43895</v>
      </c>
      <c r="B121">
        <v>166.270004</v>
      </c>
      <c r="C121">
        <v>8738.5898440000001</v>
      </c>
      <c r="D121" s="11">
        <f t="shared" si="2"/>
        <v>-2.5095273671733698E-2</v>
      </c>
      <c r="E121" s="11">
        <f t="shared" si="3"/>
        <v>-3.0993259640893833E-2</v>
      </c>
    </row>
    <row r="122" spans="1:5" x14ac:dyDescent="0.25">
      <c r="A122" s="66">
        <v>43896</v>
      </c>
      <c r="B122">
        <v>161.570007</v>
      </c>
      <c r="C122">
        <v>8575.6201170000004</v>
      </c>
      <c r="D122" s="11">
        <f t="shared" si="2"/>
        <v>-2.8267257394184009E-2</v>
      </c>
      <c r="E122" s="11">
        <f t="shared" si="3"/>
        <v>-1.8649430847460624E-2</v>
      </c>
    </row>
    <row r="123" spans="1:5" x14ac:dyDescent="0.25">
      <c r="A123" s="66">
        <v>43899</v>
      </c>
      <c r="B123">
        <v>150.61999499999999</v>
      </c>
      <c r="C123">
        <v>7950.6801759999998</v>
      </c>
      <c r="D123" s="11">
        <f t="shared" si="2"/>
        <v>-6.7772553850294792E-2</v>
      </c>
      <c r="E123" s="11">
        <f t="shared" si="3"/>
        <v>-7.2874023391164666E-2</v>
      </c>
    </row>
    <row r="124" spans="1:5" x14ac:dyDescent="0.25">
      <c r="A124" s="66">
        <v>43900</v>
      </c>
      <c r="B124">
        <v>160.91999799999999</v>
      </c>
      <c r="C124">
        <v>8344.25</v>
      </c>
      <c r="D124" s="11">
        <f t="shared" si="2"/>
        <v>6.8384034935069504E-2</v>
      </c>
      <c r="E124" s="11">
        <f t="shared" si="3"/>
        <v>4.9501403060839166E-2</v>
      </c>
    </row>
    <row r="125" spans="1:5" x14ac:dyDescent="0.25">
      <c r="A125" s="66">
        <v>43901</v>
      </c>
      <c r="B125">
        <v>153.63000500000001</v>
      </c>
      <c r="C125">
        <v>7952.0498049999997</v>
      </c>
      <c r="D125" s="11">
        <f t="shared" si="2"/>
        <v>-4.530197048598017E-2</v>
      </c>
      <c r="E125" s="11">
        <f t="shared" si="3"/>
        <v>-4.7002450190250844E-2</v>
      </c>
    </row>
    <row r="126" spans="1:5" x14ac:dyDescent="0.25">
      <c r="A126" s="66">
        <v>43902</v>
      </c>
      <c r="B126">
        <v>139.05999800000001</v>
      </c>
      <c r="C126">
        <v>7201.7998049999997</v>
      </c>
      <c r="D126" s="11">
        <f t="shared" si="2"/>
        <v>-9.4838290215508381E-2</v>
      </c>
      <c r="E126" s="11">
        <f t="shared" si="3"/>
        <v>-9.4346743091104135E-2</v>
      </c>
    </row>
    <row r="127" spans="1:5" x14ac:dyDescent="0.25">
      <c r="A127" s="66">
        <v>43903</v>
      </c>
      <c r="B127">
        <v>158.83000200000001</v>
      </c>
      <c r="C127">
        <v>7874.8798829999996</v>
      </c>
      <c r="D127" s="11">
        <f t="shared" si="2"/>
        <v>0.14216887878856443</v>
      </c>
      <c r="E127" s="11">
        <f t="shared" si="3"/>
        <v>9.3459981702448847E-2</v>
      </c>
    </row>
    <row r="128" spans="1:5" x14ac:dyDescent="0.25">
      <c r="A128" s="66">
        <v>43906</v>
      </c>
      <c r="B128">
        <v>135.41999799999999</v>
      </c>
      <c r="C128">
        <v>6904.5898440000001</v>
      </c>
      <c r="D128" s="11">
        <f t="shared" si="2"/>
        <v>-0.14739031483485099</v>
      </c>
      <c r="E128" s="11">
        <f t="shared" si="3"/>
        <v>-0.12321331289060367</v>
      </c>
    </row>
    <row r="129" spans="1:5" x14ac:dyDescent="0.25">
      <c r="A129" s="66">
        <v>43907</v>
      </c>
      <c r="B129">
        <v>146.570007</v>
      </c>
      <c r="C129">
        <v>7334.7797849999997</v>
      </c>
      <c r="D129" s="11">
        <f t="shared" si="2"/>
        <v>8.2336502471370698E-2</v>
      </c>
      <c r="E129" s="11">
        <f t="shared" si="3"/>
        <v>6.2304923350925634E-2</v>
      </c>
    </row>
    <row r="130" spans="1:5" x14ac:dyDescent="0.25">
      <c r="A130" s="66">
        <v>43908</v>
      </c>
      <c r="B130">
        <v>140.39999399999999</v>
      </c>
      <c r="C130">
        <v>6989.8398440000001</v>
      </c>
      <c r="D130" s="11">
        <f t="shared" si="2"/>
        <v>-4.2096013545254274E-2</v>
      </c>
      <c r="E130" s="11">
        <f t="shared" si="3"/>
        <v>-4.7027988721000114E-2</v>
      </c>
    </row>
    <row r="131" spans="1:5" x14ac:dyDescent="0.25">
      <c r="A131" s="66">
        <v>43909</v>
      </c>
      <c r="B131">
        <v>142.71000699999999</v>
      </c>
      <c r="C131">
        <v>7150.580078</v>
      </c>
      <c r="D131" s="11">
        <f t="shared" si="2"/>
        <v>1.6453084748707214E-2</v>
      </c>
      <c r="E131" s="11">
        <f t="shared" si="3"/>
        <v>2.2996268525090402E-2</v>
      </c>
    </row>
    <row r="132" spans="1:5" x14ac:dyDescent="0.25">
      <c r="A132" s="66">
        <v>43910</v>
      </c>
      <c r="B132">
        <v>137.35000600000001</v>
      </c>
      <c r="C132">
        <v>6879.5200199999999</v>
      </c>
      <c r="D132" s="11">
        <f t="shared" ref="D132:D195" si="4">B132/B131-1</f>
        <v>-3.7558690610953294E-2</v>
      </c>
      <c r="E132" s="11">
        <f t="shared" ref="E132:E195" si="5">C132/C131-1</f>
        <v>-3.7907422201167051E-2</v>
      </c>
    </row>
    <row r="133" spans="1:5" x14ac:dyDescent="0.25">
      <c r="A133" s="66">
        <v>43913</v>
      </c>
      <c r="B133">
        <v>135.979996</v>
      </c>
      <c r="C133">
        <v>6860.669922</v>
      </c>
      <c r="D133" s="11">
        <f t="shared" si="4"/>
        <v>-9.9745900265924003E-3</v>
      </c>
      <c r="E133" s="11">
        <f t="shared" si="5"/>
        <v>-2.7400309825684754E-3</v>
      </c>
    </row>
    <row r="134" spans="1:5" x14ac:dyDescent="0.25">
      <c r="A134" s="66">
        <v>43914</v>
      </c>
      <c r="B134">
        <v>148.33999600000001</v>
      </c>
      <c r="C134">
        <v>7417.8598629999997</v>
      </c>
      <c r="D134" s="11">
        <f t="shared" si="4"/>
        <v>9.0895722632614362E-2</v>
      </c>
      <c r="E134" s="11">
        <f t="shared" si="5"/>
        <v>8.1215092306549774E-2</v>
      </c>
    </row>
    <row r="135" spans="1:5" x14ac:dyDescent="0.25">
      <c r="A135" s="66">
        <v>43915</v>
      </c>
      <c r="B135">
        <v>146.91999799999999</v>
      </c>
      <c r="C135">
        <v>7384.2998049999997</v>
      </c>
      <c r="D135" s="11">
        <f t="shared" si="4"/>
        <v>-9.5725902540810814E-3</v>
      </c>
      <c r="E135" s="11">
        <f t="shared" si="5"/>
        <v>-4.5242237814974162E-3</v>
      </c>
    </row>
    <row r="136" spans="1:5" x14ac:dyDescent="0.25">
      <c r="A136" s="66">
        <v>43916</v>
      </c>
      <c r="B136">
        <v>156.11000100000001</v>
      </c>
      <c r="C136">
        <v>7797.5400390000004</v>
      </c>
      <c r="D136" s="11">
        <f t="shared" si="4"/>
        <v>6.2551069460265118E-2</v>
      </c>
      <c r="E136" s="11">
        <f t="shared" si="5"/>
        <v>5.5962006542609632E-2</v>
      </c>
    </row>
    <row r="137" spans="1:5" x14ac:dyDescent="0.25">
      <c r="A137" s="66">
        <v>43917</v>
      </c>
      <c r="B137">
        <v>149.699997</v>
      </c>
      <c r="C137">
        <v>7502.3798829999996</v>
      </c>
      <c r="D137" s="11">
        <f t="shared" si="4"/>
        <v>-4.1060815828192987E-2</v>
      </c>
      <c r="E137" s="11">
        <f t="shared" si="5"/>
        <v>-3.7852983700466303E-2</v>
      </c>
    </row>
    <row r="138" spans="1:5" x14ac:dyDescent="0.25">
      <c r="A138" s="66">
        <v>43920</v>
      </c>
      <c r="B138">
        <v>160.229996</v>
      </c>
      <c r="C138">
        <v>7774.1499020000001</v>
      </c>
      <c r="D138" s="11">
        <f t="shared" si="4"/>
        <v>7.0340676092331522E-2</v>
      </c>
      <c r="E138" s="11">
        <f t="shared" si="5"/>
        <v>3.6224507854609955E-2</v>
      </c>
    </row>
    <row r="139" spans="1:5" x14ac:dyDescent="0.25">
      <c r="A139" s="66">
        <v>43921</v>
      </c>
      <c r="B139">
        <v>157.71000699999999</v>
      </c>
      <c r="C139">
        <v>7700.1000979999999</v>
      </c>
      <c r="D139" s="11">
        <f t="shared" si="4"/>
        <v>-1.57273236154859E-2</v>
      </c>
      <c r="E139" s="11">
        <f t="shared" si="5"/>
        <v>-9.5251319994421602E-3</v>
      </c>
    </row>
    <row r="140" spans="1:5" x14ac:dyDescent="0.25">
      <c r="A140" s="66">
        <v>43922</v>
      </c>
      <c r="B140">
        <v>152.11000100000001</v>
      </c>
      <c r="C140">
        <v>7360.580078</v>
      </c>
      <c r="D140" s="11">
        <f t="shared" si="4"/>
        <v>-3.5508247742326082E-2</v>
      </c>
      <c r="E140" s="11">
        <f t="shared" si="5"/>
        <v>-4.4092935894195162E-2</v>
      </c>
    </row>
    <row r="141" spans="1:5" x14ac:dyDescent="0.25">
      <c r="A141" s="66">
        <v>43923</v>
      </c>
      <c r="B141">
        <v>155.259995</v>
      </c>
      <c r="C141">
        <v>7487.3100590000004</v>
      </c>
      <c r="D141" s="11">
        <f t="shared" si="4"/>
        <v>2.0708658071733277E-2</v>
      </c>
      <c r="E141" s="11">
        <f t="shared" si="5"/>
        <v>1.7217390430787294E-2</v>
      </c>
    </row>
    <row r="142" spans="1:5" x14ac:dyDescent="0.25">
      <c r="A142" s="66">
        <v>43924</v>
      </c>
      <c r="B142">
        <v>153.83000200000001</v>
      </c>
      <c r="C142">
        <v>7373.080078</v>
      </c>
      <c r="D142" s="11">
        <f t="shared" si="4"/>
        <v>-9.210312031763257E-3</v>
      </c>
      <c r="E142" s="11">
        <f t="shared" si="5"/>
        <v>-1.5256477974047833E-2</v>
      </c>
    </row>
    <row r="143" spans="1:5" x14ac:dyDescent="0.25">
      <c r="A143" s="66">
        <v>43927</v>
      </c>
      <c r="B143">
        <v>165.270004</v>
      </c>
      <c r="C143">
        <v>7913.2402339999999</v>
      </c>
      <c r="D143" s="11">
        <f t="shared" si="4"/>
        <v>7.4367820654386962E-2</v>
      </c>
      <c r="E143" s="11">
        <f t="shared" si="5"/>
        <v>7.3261127003318993E-2</v>
      </c>
    </row>
    <row r="144" spans="1:5" x14ac:dyDescent="0.25">
      <c r="A144" s="66">
        <v>43928</v>
      </c>
      <c r="B144">
        <v>163.490005</v>
      </c>
      <c r="C144">
        <v>7887.2597660000001</v>
      </c>
      <c r="D144" s="11">
        <f t="shared" si="4"/>
        <v>-1.0770248423301321E-2</v>
      </c>
      <c r="E144" s="11">
        <f t="shared" si="5"/>
        <v>-3.2831643210289307E-3</v>
      </c>
    </row>
    <row r="145" spans="1:5" x14ac:dyDescent="0.25">
      <c r="A145" s="66">
        <v>43929</v>
      </c>
      <c r="B145">
        <v>165.13000500000001</v>
      </c>
      <c r="C145">
        <v>8090.8999020000001</v>
      </c>
      <c r="D145" s="11">
        <f t="shared" si="4"/>
        <v>1.0031194261692189E-2</v>
      </c>
      <c r="E145" s="11">
        <f t="shared" si="5"/>
        <v>2.5818870183259568E-2</v>
      </c>
    </row>
    <row r="146" spans="1:5" x14ac:dyDescent="0.25">
      <c r="A146" s="66">
        <v>43930</v>
      </c>
      <c r="B146">
        <v>165.13999899999999</v>
      </c>
      <c r="C146">
        <v>8153.580078</v>
      </c>
      <c r="D146" s="11">
        <f t="shared" si="4"/>
        <v>6.0522011126717956E-5</v>
      </c>
      <c r="E146" s="11">
        <f t="shared" si="5"/>
        <v>7.7469968432690717E-3</v>
      </c>
    </row>
    <row r="147" spans="1:5" x14ac:dyDescent="0.25">
      <c r="A147" s="66">
        <v>43934</v>
      </c>
      <c r="B147">
        <v>165.509995</v>
      </c>
      <c r="C147">
        <v>8192.4199219999991</v>
      </c>
      <c r="D147" s="11">
        <f t="shared" si="4"/>
        <v>2.2404989841378065E-3</v>
      </c>
      <c r="E147" s="11">
        <f t="shared" si="5"/>
        <v>4.7635325376635951E-3</v>
      </c>
    </row>
    <row r="148" spans="1:5" x14ac:dyDescent="0.25">
      <c r="A148" s="66">
        <v>43935</v>
      </c>
      <c r="B148">
        <v>173.699997</v>
      </c>
      <c r="C148">
        <v>8515.7402340000008</v>
      </c>
      <c r="D148" s="11">
        <f t="shared" si="4"/>
        <v>4.9483428478141134E-2</v>
      </c>
      <c r="E148" s="11">
        <f t="shared" si="5"/>
        <v>3.9465788506733546E-2</v>
      </c>
    </row>
    <row r="149" spans="1:5" x14ac:dyDescent="0.25">
      <c r="A149" s="66">
        <v>43936</v>
      </c>
      <c r="B149">
        <v>171.88000500000001</v>
      </c>
      <c r="C149">
        <v>8393.1796880000002</v>
      </c>
      <c r="D149" s="11">
        <f t="shared" si="4"/>
        <v>-1.0477789472846055E-2</v>
      </c>
      <c r="E149" s="11">
        <f t="shared" si="5"/>
        <v>-1.4392236333215624E-2</v>
      </c>
    </row>
    <row r="150" spans="1:5" x14ac:dyDescent="0.25">
      <c r="A150" s="66">
        <v>43937</v>
      </c>
      <c r="B150">
        <v>177.03999300000001</v>
      </c>
      <c r="C150">
        <v>8532.3603519999997</v>
      </c>
      <c r="D150" s="11">
        <f t="shared" si="4"/>
        <v>3.002087415578103E-2</v>
      </c>
      <c r="E150" s="11">
        <f t="shared" si="5"/>
        <v>1.6582590766999861E-2</v>
      </c>
    </row>
    <row r="151" spans="1:5" x14ac:dyDescent="0.25">
      <c r="A151" s="66">
        <v>43938</v>
      </c>
      <c r="B151">
        <v>178.60000600000001</v>
      </c>
      <c r="C151">
        <v>8650.1396480000003</v>
      </c>
      <c r="D151" s="11">
        <f t="shared" si="4"/>
        <v>8.811641785367641E-3</v>
      </c>
      <c r="E151" s="11">
        <f t="shared" si="5"/>
        <v>1.3803835180542068E-2</v>
      </c>
    </row>
    <row r="152" spans="1:5" x14ac:dyDescent="0.25">
      <c r="A152" s="66">
        <v>43941</v>
      </c>
      <c r="B152">
        <v>175.05999800000001</v>
      </c>
      <c r="C152">
        <v>8560.7304690000001</v>
      </c>
      <c r="D152" s="11">
        <f t="shared" si="4"/>
        <v>-1.9820872794371613E-2</v>
      </c>
      <c r="E152" s="11">
        <f t="shared" si="5"/>
        <v>-1.0336154401931807E-2</v>
      </c>
    </row>
    <row r="153" spans="1:5" x14ac:dyDescent="0.25">
      <c r="A153" s="66">
        <v>43942</v>
      </c>
      <c r="B153">
        <v>167.820007</v>
      </c>
      <c r="C153">
        <v>8263.2304690000001</v>
      </c>
      <c r="D153" s="11">
        <f t="shared" si="4"/>
        <v>-4.1357198004766338E-2</v>
      </c>
      <c r="E153" s="11">
        <f t="shared" si="5"/>
        <v>-3.4751707354565453E-2</v>
      </c>
    </row>
    <row r="154" spans="1:5" x14ac:dyDescent="0.25">
      <c r="A154" s="66">
        <v>43943</v>
      </c>
      <c r="B154">
        <v>173.520004</v>
      </c>
      <c r="C154">
        <v>8495.3798829999996</v>
      </c>
      <c r="D154" s="11">
        <f t="shared" si="4"/>
        <v>3.3964943166758355E-2</v>
      </c>
      <c r="E154" s="11">
        <f t="shared" si="5"/>
        <v>2.8094268321683824E-2</v>
      </c>
    </row>
    <row r="155" spans="1:5" x14ac:dyDescent="0.25">
      <c r="A155" s="66">
        <v>43944</v>
      </c>
      <c r="B155">
        <v>171.41999799999999</v>
      </c>
      <c r="C155">
        <v>8494.75</v>
      </c>
      <c r="D155" s="11">
        <f t="shared" si="4"/>
        <v>-1.2102385613130817E-2</v>
      </c>
      <c r="E155" s="11">
        <f t="shared" si="5"/>
        <v>-7.4144182917623702E-5</v>
      </c>
    </row>
    <row r="156" spans="1:5" x14ac:dyDescent="0.25">
      <c r="A156" s="66">
        <v>43945</v>
      </c>
      <c r="B156">
        <v>174.550003</v>
      </c>
      <c r="C156">
        <v>8634.5195309999999</v>
      </c>
      <c r="D156" s="11">
        <f t="shared" si="4"/>
        <v>1.8259275676808739E-2</v>
      </c>
      <c r="E156" s="11">
        <f t="shared" si="5"/>
        <v>1.6453636775655589E-2</v>
      </c>
    </row>
    <row r="157" spans="1:5" x14ac:dyDescent="0.25">
      <c r="A157" s="66">
        <v>43948</v>
      </c>
      <c r="B157">
        <v>174.050003</v>
      </c>
      <c r="C157">
        <v>8730.1601559999999</v>
      </c>
      <c r="D157" s="11">
        <f t="shared" si="4"/>
        <v>-2.8645086875191961E-3</v>
      </c>
      <c r="E157" s="11">
        <f t="shared" si="5"/>
        <v>1.1076542783489796E-2</v>
      </c>
    </row>
    <row r="158" spans="1:5" x14ac:dyDescent="0.25">
      <c r="A158" s="66">
        <v>43949</v>
      </c>
      <c r="B158">
        <v>169.80999800000001</v>
      </c>
      <c r="C158">
        <v>8607.7304690000001</v>
      </c>
      <c r="D158" s="11">
        <f t="shared" si="4"/>
        <v>-2.436084416499551E-2</v>
      </c>
      <c r="E158" s="11">
        <f t="shared" si="5"/>
        <v>-1.4023761856860939E-2</v>
      </c>
    </row>
    <row r="159" spans="1:5" x14ac:dyDescent="0.25">
      <c r="A159" s="66">
        <v>43950</v>
      </c>
      <c r="B159">
        <v>177.429993</v>
      </c>
      <c r="C159">
        <v>8914.7099610000005</v>
      </c>
      <c r="D159" s="11">
        <f t="shared" si="4"/>
        <v>4.4873653434705174E-2</v>
      </c>
      <c r="E159" s="11">
        <f t="shared" si="5"/>
        <v>3.5663232382282528E-2</v>
      </c>
    </row>
    <row r="160" spans="1:5" x14ac:dyDescent="0.25">
      <c r="A160" s="66">
        <v>43951</v>
      </c>
      <c r="B160">
        <v>179.21000699999999</v>
      </c>
      <c r="C160">
        <v>8889.5498050000006</v>
      </c>
      <c r="D160" s="11">
        <f t="shared" si="4"/>
        <v>1.0032204645355591E-2</v>
      </c>
      <c r="E160" s="11">
        <f t="shared" si="5"/>
        <v>-2.8223190782504792E-3</v>
      </c>
    </row>
    <row r="161" spans="1:5" x14ac:dyDescent="0.25">
      <c r="A161" s="66">
        <v>43952</v>
      </c>
      <c r="B161">
        <v>174.570007</v>
      </c>
      <c r="C161">
        <v>8604.9501949999994</v>
      </c>
      <c r="D161" s="11">
        <f t="shared" si="4"/>
        <v>-2.5891411298254008E-2</v>
      </c>
      <c r="E161" s="11">
        <f t="shared" si="5"/>
        <v>-3.2015075706075202E-2</v>
      </c>
    </row>
    <row r="162" spans="1:5" x14ac:dyDescent="0.25">
      <c r="A162" s="66">
        <v>43955</v>
      </c>
      <c r="B162">
        <v>178.83999600000001</v>
      </c>
      <c r="C162">
        <v>8710.7099610000005</v>
      </c>
      <c r="D162" s="11">
        <f t="shared" si="4"/>
        <v>2.4460037972044102E-2</v>
      </c>
      <c r="E162" s="11">
        <f t="shared" si="5"/>
        <v>1.2290572705633274E-2</v>
      </c>
    </row>
    <row r="163" spans="1:5" x14ac:dyDescent="0.25">
      <c r="A163" s="66">
        <v>43956</v>
      </c>
      <c r="B163">
        <v>180.759995</v>
      </c>
      <c r="C163">
        <v>8809.1201170000004</v>
      </c>
      <c r="D163" s="11">
        <f t="shared" si="4"/>
        <v>1.0735847925203323E-2</v>
      </c>
      <c r="E163" s="11">
        <f t="shared" si="5"/>
        <v>1.1297604493847979E-2</v>
      </c>
    </row>
    <row r="164" spans="1:5" x14ac:dyDescent="0.25">
      <c r="A164" s="66">
        <v>43957</v>
      </c>
      <c r="B164">
        <v>182.53999300000001</v>
      </c>
      <c r="C164">
        <v>8854.3896480000003</v>
      </c>
      <c r="D164" s="11">
        <f t="shared" si="4"/>
        <v>9.8473005600603347E-3</v>
      </c>
      <c r="E164" s="11">
        <f t="shared" si="5"/>
        <v>5.1389390085212483E-3</v>
      </c>
    </row>
    <row r="165" spans="1:5" x14ac:dyDescent="0.25">
      <c r="A165" s="66">
        <v>43958</v>
      </c>
      <c r="B165">
        <v>183.60000600000001</v>
      </c>
      <c r="C165">
        <v>8979.6601559999999</v>
      </c>
      <c r="D165" s="11">
        <f t="shared" si="4"/>
        <v>5.8070178626554725E-3</v>
      </c>
      <c r="E165" s="11">
        <f t="shared" si="5"/>
        <v>1.4147842254524701E-2</v>
      </c>
    </row>
    <row r="166" spans="1:5" x14ac:dyDescent="0.25">
      <c r="A166" s="66">
        <v>43959</v>
      </c>
      <c r="B166">
        <v>184.679993</v>
      </c>
      <c r="C166">
        <v>9121.3203130000002</v>
      </c>
      <c r="D166" s="11">
        <f t="shared" si="4"/>
        <v>5.8822819428447914E-3</v>
      </c>
      <c r="E166" s="11">
        <f t="shared" si="5"/>
        <v>1.5775670185619095E-2</v>
      </c>
    </row>
    <row r="167" spans="1:5" x14ac:dyDescent="0.25">
      <c r="A167" s="66">
        <v>43962</v>
      </c>
      <c r="B167">
        <v>186.740005</v>
      </c>
      <c r="C167">
        <v>9192.3398440000001</v>
      </c>
      <c r="D167" s="11">
        <f t="shared" si="4"/>
        <v>1.1154494683135452E-2</v>
      </c>
      <c r="E167" s="11">
        <f t="shared" si="5"/>
        <v>7.7861020732690189E-3</v>
      </c>
    </row>
    <row r="168" spans="1:5" x14ac:dyDescent="0.25">
      <c r="A168" s="66">
        <v>43963</v>
      </c>
      <c r="B168">
        <v>182.509995</v>
      </c>
      <c r="C168">
        <v>9002.5498050000006</v>
      </c>
      <c r="D168" s="11">
        <f t="shared" si="4"/>
        <v>-2.2651868302134837E-2</v>
      </c>
      <c r="E168" s="11">
        <f t="shared" si="5"/>
        <v>-2.0646542906469945E-2</v>
      </c>
    </row>
    <row r="169" spans="1:5" x14ac:dyDescent="0.25">
      <c r="A169" s="66">
        <v>43964</v>
      </c>
      <c r="B169">
        <v>179.75</v>
      </c>
      <c r="C169">
        <v>8863.1699219999991</v>
      </c>
      <c r="D169" s="11">
        <f t="shared" si="4"/>
        <v>-1.5122432061871471E-2</v>
      </c>
      <c r="E169" s="11">
        <f t="shared" si="5"/>
        <v>-1.5482267359697377E-2</v>
      </c>
    </row>
    <row r="170" spans="1:5" x14ac:dyDescent="0.25">
      <c r="A170" s="66">
        <v>43965</v>
      </c>
      <c r="B170">
        <v>180.529999</v>
      </c>
      <c r="C170">
        <v>8943.7197269999997</v>
      </c>
      <c r="D170" s="11">
        <f t="shared" si="4"/>
        <v>4.3393546592489507E-3</v>
      </c>
      <c r="E170" s="11">
        <f t="shared" si="5"/>
        <v>9.0881485641001181E-3</v>
      </c>
    </row>
    <row r="171" spans="1:5" x14ac:dyDescent="0.25">
      <c r="A171" s="66">
        <v>43966</v>
      </c>
      <c r="B171">
        <v>183.16000399999999</v>
      </c>
      <c r="C171">
        <v>9014.5595699999994</v>
      </c>
      <c r="D171" s="11">
        <f t="shared" si="4"/>
        <v>1.4568243585931562E-2</v>
      </c>
      <c r="E171" s="11">
        <f t="shared" si="5"/>
        <v>7.9206242103206925E-3</v>
      </c>
    </row>
    <row r="172" spans="1:5" x14ac:dyDescent="0.25">
      <c r="A172" s="66">
        <v>43969</v>
      </c>
      <c r="B172">
        <v>184.91000399999999</v>
      </c>
      <c r="C172">
        <v>9234.8300780000009</v>
      </c>
      <c r="D172" s="11">
        <f t="shared" si="4"/>
        <v>9.5544876707909232E-3</v>
      </c>
      <c r="E172" s="11">
        <f t="shared" si="5"/>
        <v>2.4434971702117281E-2</v>
      </c>
    </row>
    <row r="173" spans="1:5" x14ac:dyDescent="0.25">
      <c r="A173" s="66">
        <v>43970</v>
      </c>
      <c r="B173">
        <v>183.63000500000001</v>
      </c>
      <c r="C173">
        <v>9185.0996090000008</v>
      </c>
      <c r="D173" s="11">
        <f t="shared" si="4"/>
        <v>-6.9222809599851498E-3</v>
      </c>
      <c r="E173" s="11">
        <f t="shared" si="5"/>
        <v>-5.3850984349427256E-3</v>
      </c>
    </row>
    <row r="174" spans="1:5" x14ac:dyDescent="0.25">
      <c r="A174" s="66">
        <v>43971</v>
      </c>
      <c r="B174">
        <v>185.66000399999999</v>
      </c>
      <c r="C174">
        <v>9375.7802730000003</v>
      </c>
      <c r="D174" s="11">
        <f t="shared" si="4"/>
        <v>1.1054832787266822E-2</v>
      </c>
      <c r="E174" s="11">
        <f t="shared" si="5"/>
        <v>2.0759781833303403E-2</v>
      </c>
    </row>
    <row r="175" spans="1:5" x14ac:dyDescent="0.25">
      <c r="A175" s="66">
        <v>43972</v>
      </c>
      <c r="B175">
        <v>183.429993</v>
      </c>
      <c r="C175">
        <v>9284.8798829999996</v>
      </c>
      <c r="D175" s="11">
        <f t="shared" si="4"/>
        <v>-1.2011262264111533E-2</v>
      </c>
      <c r="E175" s="11">
        <f t="shared" si="5"/>
        <v>-9.6952346741498996E-3</v>
      </c>
    </row>
    <row r="176" spans="1:5" x14ac:dyDescent="0.25">
      <c r="A176" s="66">
        <v>43973</v>
      </c>
      <c r="B176">
        <v>183.509995</v>
      </c>
      <c r="C176">
        <v>9324.5898440000001</v>
      </c>
      <c r="D176" s="11">
        <f t="shared" si="4"/>
        <v>4.361445949572218E-4</v>
      </c>
      <c r="E176" s="11">
        <f t="shared" si="5"/>
        <v>4.2768416501226536E-3</v>
      </c>
    </row>
    <row r="177" spans="1:5" x14ac:dyDescent="0.25">
      <c r="A177" s="66">
        <v>43977</v>
      </c>
      <c r="B177">
        <v>181.570007</v>
      </c>
      <c r="C177">
        <v>9340.2197269999997</v>
      </c>
      <c r="D177" s="11">
        <f t="shared" si="4"/>
        <v>-1.0571565870294952E-2</v>
      </c>
      <c r="E177" s="11">
        <f t="shared" si="5"/>
        <v>1.676200590212229E-3</v>
      </c>
    </row>
    <row r="178" spans="1:5" x14ac:dyDescent="0.25">
      <c r="A178" s="66">
        <v>43978</v>
      </c>
      <c r="B178">
        <v>181.80999800000001</v>
      </c>
      <c r="C178">
        <v>9412.3603519999997</v>
      </c>
      <c r="D178" s="11">
        <f t="shared" si="4"/>
        <v>1.3217546442017003E-3</v>
      </c>
      <c r="E178" s="11">
        <f t="shared" si="5"/>
        <v>7.723653951251519E-3</v>
      </c>
    </row>
    <row r="179" spans="1:5" x14ac:dyDescent="0.25">
      <c r="A179" s="66">
        <v>43979</v>
      </c>
      <c r="B179">
        <v>181.39999399999999</v>
      </c>
      <c r="C179">
        <v>9368.9902340000008</v>
      </c>
      <c r="D179" s="11">
        <f t="shared" si="4"/>
        <v>-2.2551235053641649E-3</v>
      </c>
      <c r="E179" s="11">
        <f t="shared" si="5"/>
        <v>-4.6077834228672732E-3</v>
      </c>
    </row>
    <row r="180" spans="1:5" x14ac:dyDescent="0.25">
      <c r="A180" s="66">
        <v>43980</v>
      </c>
      <c r="B180">
        <v>183.25</v>
      </c>
      <c r="C180">
        <v>9489.8701170000004</v>
      </c>
      <c r="D180" s="11">
        <f t="shared" si="4"/>
        <v>1.0198489863235682E-2</v>
      </c>
      <c r="E180" s="11">
        <f t="shared" si="5"/>
        <v>1.290212498688792E-2</v>
      </c>
    </row>
    <row r="181" spans="1:5" x14ac:dyDescent="0.25">
      <c r="A181" s="66">
        <v>43983</v>
      </c>
      <c r="B181">
        <v>182.83000200000001</v>
      </c>
      <c r="C181">
        <v>9552.0498050000006</v>
      </c>
      <c r="D181" s="11">
        <f t="shared" si="4"/>
        <v>-2.2919399727148182E-3</v>
      </c>
      <c r="E181" s="11">
        <f t="shared" si="5"/>
        <v>6.5522169675023001E-3</v>
      </c>
    </row>
    <row r="182" spans="1:5" x14ac:dyDescent="0.25">
      <c r="A182" s="66">
        <v>43984</v>
      </c>
      <c r="B182">
        <v>184.91000399999999</v>
      </c>
      <c r="C182">
        <v>9608.3798829999996</v>
      </c>
      <c r="D182" s="11">
        <f t="shared" si="4"/>
        <v>1.1376699541905566E-2</v>
      </c>
      <c r="E182" s="11">
        <f t="shared" si="5"/>
        <v>5.8971717222948694E-3</v>
      </c>
    </row>
    <row r="183" spans="1:5" x14ac:dyDescent="0.25">
      <c r="A183" s="66">
        <v>43985</v>
      </c>
      <c r="B183">
        <v>185.36000100000001</v>
      </c>
      <c r="C183">
        <v>9682.9101559999999</v>
      </c>
      <c r="D183" s="11">
        <f t="shared" si="4"/>
        <v>2.4336000771489896E-3</v>
      </c>
      <c r="E183" s="11">
        <f t="shared" si="5"/>
        <v>7.7567991594365004E-3</v>
      </c>
    </row>
    <row r="184" spans="1:5" x14ac:dyDescent="0.25">
      <c r="A184" s="66">
        <v>43986</v>
      </c>
      <c r="B184">
        <v>182.91999799999999</v>
      </c>
      <c r="C184">
        <v>9615.8095699999994</v>
      </c>
      <c r="D184" s="11">
        <f t="shared" si="4"/>
        <v>-1.3163589700239675E-2</v>
      </c>
      <c r="E184" s="11">
        <f t="shared" si="5"/>
        <v>-6.929795373390113E-3</v>
      </c>
    </row>
    <row r="185" spans="1:5" x14ac:dyDescent="0.25">
      <c r="A185" s="66">
        <v>43987</v>
      </c>
      <c r="B185">
        <v>187.199997</v>
      </c>
      <c r="C185">
        <v>9814.0800780000009</v>
      </c>
      <c r="D185" s="11">
        <f t="shared" si="4"/>
        <v>2.3398201655348894E-2</v>
      </c>
      <c r="E185" s="11">
        <f t="shared" si="5"/>
        <v>2.0619221559729839E-2</v>
      </c>
    </row>
    <row r="186" spans="1:5" x14ac:dyDescent="0.25">
      <c r="A186" s="66">
        <v>43990</v>
      </c>
      <c r="B186">
        <v>188.36000100000001</v>
      </c>
      <c r="C186">
        <v>9924.75</v>
      </c>
      <c r="D186" s="11">
        <f t="shared" si="4"/>
        <v>6.1966026634072691E-3</v>
      </c>
      <c r="E186" s="11">
        <f t="shared" si="5"/>
        <v>1.1276647543164486E-2</v>
      </c>
    </row>
    <row r="187" spans="1:5" x14ac:dyDescent="0.25">
      <c r="A187" s="66">
        <v>43991</v>
      </c>
      <c r="B187">
        <v>189.800003</v>
      </c>
      <c r="C187">
        <v>9953.75</v>
      </c>
      <c r="D187" s="11">
        <f t="shared" si="4"/>
        <v>7.6449458077885168E-3</v>
      </c>
      <c r="E187" s="11">
        <f t="shared" si="5"/>
        <v>2.9219879593944675E-3</v>
      </c>
    </row>
    <row r="188" spans="1:5" x14ac:dyDescent="0.25">
      <c r="A188" s="66">
        <v>43992</v>
      </c>
      <c r="B188">
        <v>196.83999600000001</v>
      </c>
      <c r="C188">
        <v>10020.349609000001</v>
      </c>
      <c r="D188" s="11">
        <f t="shared" si="4"/>
        <v>3.7091637980638081E-2</v>
      </c>
      <c r="E188" s="11">
        <f t="shared" si="5"/>
        <v>6.6909063418310044E-3</v>
      </c>
    </row>
    <row r="189" spans="1:5" x14ac:dyDescent="0.25">
      <c r="A189" s="66">
        <v>43993</v>
      </c>
      <c r="B189">
        <v>186.270004</v>
      </c>
      <c r="C189">
        <v>9492.7304690000001</v>
      </c>
      <c r="D189" s="11">
        <f t="shared" si="4"/>
        <v>-5.3698395726445858E-2</v>
      </c>
      <c r="E189" s="11">
        <f t="shared" si="5"/>
        <v>-5.2654763614845113E-2</v>
      </c>
    </row>
    <row r="190" spans="1:5" x14ac:dyDescent="0.25">
      <c r="A190" s="66">
        <v>43994</v>
      </c>
      <c r="B190">
        <v>187.740005</v>
      </c>
      <c r="C190">
        <v>9588.8095699999994</v>
      </c>
      <c r="D190" s="11">
        <f t="shared" si="4"/>
        <v>7.891775210355334E-3</v>
      </c>
      <c r="E190" s="11">
        <f t="shared" si="5"/>
        <v>1.0121334563723439E-2</v>
      </c>
    </row>
    <row r="191" spans="1:5" x14ac:dyDescent="0.25">
      <c r="A191" s="66">
        <v>43997</v>
      </c>
      <c r="B191">
        <v>188.94000199999999</v>
      </c>
      <c r="C191">
        <v>9726.0195309999999</v>
      </c>
      <c r="D191" s="11">
        <f t="shared" si="4"/>
        <v>6.3918023225790765E-3</v>
      </c>
      <c r="E191" s="11">
        <f t="shared" si="5"/>
        <v>1.4309384287835014E-2</v>
      </c>
    </row>
    <row r="192" spans="1:5" x14ac:dyDescent="0.25">
      <c r="A192" s="66">
        <v>43998</v>
      </c>
      <c r="B192">
        <v>193.570007</v>
      </c>
      <c r="C192">
        <v>9895.8701170000004</v>
      </c>
      <c r="D192" s="11">
        <f t="shared" si="4"/>
        <v>2.4505160108974744E-2</v>
      </c>
      <c r="E192" s="11">
        <f t="shared" si="5"/>
        <v>1.746352507915816E-2</v>
      </c>
    </row>
    <row r="193" spans="1:5" x14ac:dyDescent="0.25">
      <c r="A193" s="66">
        <v>43999</v>
      </c>
      <c r="B193">
        <v>194.240005</v>
      </c>
      <c r="C193">
        <v>9910.5302730000003</v>
      </c>
      <c r="D193" s="11">
        <f t="shared" si="4"/>
        <v>3.4612696997009529E-3</v>
      </c>
      <c r="E193" s="11">
        <f t="shared" si="5"/>
        <v>1.4814418365107773E-3</v>
      </c>
    </row>
    <row r="194" spans="1:5" x14ac:dyDescent="0.25">
      <c r="A194" s="66">
        <v>44000</v>
      </c>
      <c r="B194">
        <v>196.320007</v>
      </c>
      <c r="C194">
        <v>9943.0498050000006</v>
      </c>
      <c r="D194" s="11">
        <f t="shared" si="4"/>
        <v>1.0708411997827127E-2</v>
      </c>
      <c r="E194" s="11">
        <f t="shared" si="5"/>
        <v>3.2813109999365597E-3</v>
      </c>
    </row>
    <row r="195" spans="1:5" x14ac:dyDescent="0.25">
      <c r="A195" s="66">
        <v>44001</v>
      </c>
      <c r="B195">
        <v>195.14999399999999</v>
      </c>
      <c r="C195">
        <v>9946.1201170000004</v>
      </c>
      <c r="D195" s="11">
        <f t="shared" si="4"/>
        <v>-5.9597237076300935E-3</v>
      </c>
      <c r="E195" s="11">
        <f t="shared" si="5"/>
        <v>3.0878976372572531E-4</v>
      </c>
    </row>
    <row r="196" spans="1:5" x14ac:dyDescent="0.25">
      <c r="A196" s="66">
        <v>44004</v>
      </c>
      <c r="B196">
        <v>200.570007</v>
      </c>
      <c r="C196">
        <v>10056.480469</v>
      </c>
      <c r="D196" s="11">
        <f t="shared" ref="D196:D253" si="6">B196/B195-1</f>
        <v>2.777357502762734E-2</v>
      </c>
      <c r="E196" s="11">
        <f t="shared" ref="E196:E253" si="7">C196/C195-1</f>
        <v>1.1095819344808744E-2</v>
      </c>
    </row>
    <row r="197" spans="1:5" x14ac:dyDescent="0.25">
      <c r="A197" s="66">
        <v>44005</v>
      </c>
      <c r="B197">
        <v>201.91000399999999</v>
      </c>
      <c r="C197">
        <v>10131.370117</v>
      </c>
      <c r="D197" s="11">
        <f t="shared" si="6"/>
        <v>6.6809440755515315E-3</v>
      </c>
      <c r="E197" s="11">
        <f t="shared" si="7"/>
        <v>7.4469043350557929E-3</v>
      </c>
    </row>
    <row r="198" spans="1:5" x14ac:dyDescent="0.25">
      <c r="A198" s="66">
        <v>44006</v>
      </c>
      <c r="B198">
        <v>197.83999600000001</v>
      </c>
      <c r="C198">
        <v>9909.1699219999991</v>
      </c>
      <c r="D198" s="11">
        <f t="shared" si="6"/>
        <v>-2.0157535136297478E-2</v>
      </c>
      <c r="E198" s="11">
        <f t="shared" si="7"/>
        <v>-2.1931899874742422E-2</v>
      </c>
    </row>
    <row r="199" spans="1:5" x14ac:dyDescent="0.25">
      <c r="A199" s="66">
        <v>44007</v>
      </c>
      <c r="B199">
        <v>200.33999600000001</v>
      </c>
      <c r="C199">
        <v>10017</v>
      </c>
      <c r="D199" s="11">
        <f t="shared" si="6"/>
        <v>1.2636474173806533E-2</v>
      </c>
      <c r="E199" s="11">
        <f t="shared" si="7"/>
        <v>1.0881847707606696E-2</v>
      </c>
    </row>
    <row r="200" spans="1:5" x14ac:dyDescent="0.25">
      <c r="A200" s="66">
        <v>44008</v>
      </c>
      <c r="B200">
        <v>196.33000200000001</v>
      </c>
      <c r="C200">
        <v>9757.2197269999997</v>
      </c>
      <c r="D200" s="11">
        <f t="shared" si="6"/>
        <v>-2.0015943296714522E-2</v>
      </c>
      <c r="E200" s="11">
        <f t="shared" si="7"/>
        <v>-2.5933939602675538E-2</v>
      </c>
    </row>
    <row r="201" spans="1:5" x14ac:dyDescent="0.25">
      <c r="A201" s="66">
        <v>44011</v>
      </c>
      <c r="B201">
        <v>198.44000199999999</v>
      </c>
      <c r="C201">
        <v>9874.1503909999992</v>
      </c>
      <c r="D201" s="11">
        <f t="shared" si="6"/>
        <v>1.0747211218385289E-2</v>
      </c>
      <c r="E201" s="11">
        <f t="shared" si="7"/>
        <v>1.1984014634458973E-2</v>
      </c>
    </row>
    <row r="202" spans="1:5" x14ac:dyDescent="0.25">
      <c r="A202" s="66">
        <v>44012</v>
      </c>
      <c r="B202">
        <v>203.509995</v>
      </c>
      <c r="C202">
        <v>10058.769531</v>
      </c>
      <c r="D202" s="11">
        <f t="shared" si="6"/>
        <v>2.5549248885816889E-2</v>
      </c>
      <c r="E202" s="11">
        <f t="shared" si="7"/>
        <v>1.8697217754377604E-2</v>
      </c>
    </row>
    <row r="203" spans="1:5" x14ac:dyDescent="0.25">
      <c r="A203" s="66">
        <v>44013</v>
      </c>
      <c r="B203">
        <v>204.699997</v>
      </c>
      <c r="C203">
        <v>10154.629883</v>
      </c>
      <c r="D203" s="11">
        <f t="shared" si="6"/>
        <v>5.8473884783889485E-3</v>
      </c>
      <c r="E203" s="11">
        <f t="shared" si="7"/>
        <v>9.5300276743162105E-3</v>
      </c>
    </row>
    <row r="204" spans="1:5" x14ac:dyDescent="0.25">
      <c r="A204" s="66">
        <v>44014</v>
      </c>
      <c r="B204">
        <v>206.259995</v>
      </c>
      <c r="C204">
        <v>10207.629883</v>
      </c>
      <c r="D204" s="11">
        <f t="shared" si="6"/>
        <v>7.6208989880932609E-3</v>
      </c>
      <c r="E204" s="11">
        <f t="shared" si="7"/>
        <v>5.2192941161477435E-3</v>
      </c>
    </row>
    <row r="205" spans="1:5" x14ac:dyDescent="0.25">
      <c r="A205" s="66">
        <v>44018</v>
      </c>
      <c r="B205">
        <v>210.699997</v>
      </c>
      <c r="C205">
        <v>10433.650390999999</v>
      </c>
      <c r="D205" s="11">
        <f t="shared" si="6"/>
        <v>2.1526239249642254E-2</v>
      </c>
      <c r="E205" s="11">
        <f t="shared" si="7"/>
        <v>2.2142310270910182E-2</v>
      </c>
    </row>
    <row r="206" spans="1:5" x14ac:dyDescent="0.25">
      <c r="A206" s="66">
        <v>44019</v>
      </c>
      <c r="B206">
        <v>208.25</v>
      </c>
      <c r="C206">
        <v>10343.889648</v>
      </c>
      <c r="D206" s="11">
        <f t="shared" si="6"/>
        <v>-1.162789290405164E-2</v>
      </c>
      <c r="E206" s="11">
        <f t="shared" si="7"/>
        <v>-8.6030046662696202E-3</v>
      </c>
    </row>
    <row r="207" spans="1:5" x14ac:dyDescent="0.25">
      <c r="A207" s="66">
        <v>44020</v>
      </c>
      <c r="B207">
        <v>212.83000200000001</v>
      </c>
      <c r="C207">
        <v>10492.5</v>
      </c>
      <c r="D207" s="11">
        <f t="shared" si="6"/>
        <v>2.1992806722689107E-2</v>
      </c>
      <c r="E207" s="11">
        <f t="shared" si="7"/>
        <v>1.4366969975238897E-2</v>
      </c>
    </row>
    <row r="208" spans="1:5" x14ac:dyDescent="0.25">
      <c r="A208" s="66">
        <v>44021</v>
      </c>
      <c r="B208">
        <v>214.320007</v>
      </c>
      <c r="C208">
        <v>10547.75</v>
      </c>
      <c r="D208" s="11">
        <f t="shared" si="6"/>
        <v>7.0009161584276836E-3</v>
      </c>
      <c r="E208" s="11">
        <f t="shared" si="7"/>
        <v>5.2656659518703908E-3</v>
      </c>
    </row>
    <row r="209" spans="1:5" x14ac:dyDescent="0.25">
      <c r="A209" s="66">
        <v>44022</v>
      </c>
      <c r="B209">
        <v>213.66999799999999</v>
      </c>
      <c r="C209">
        <v>10617.440430000001</v>
      </c>
      <c r="D209" s="11">
        <f t="shared" si="6"/>
        <v>-3.0328899718634617E-3</v>
      </c>
      <c r="E209" s="11">
        <f t="shared" si="7"/>
        <v>6.6071370671469953E-3</v>
      </c>
    </row>
    <row r="210" spans="1:5" x14ac:dyDescent="0.25">
      <c r="A210" s="66">
        <v>44025</v>
      </c>
      <c r="B210">
        <v>207.070007</v>
      </c>
      <c r="C210">
        <v>10390.839844</v>
      </c>
      <c r="D210" s="11">
        <f t="shared" si="6"/>
        <v>-3.0888711853687467E-2</v>
      </c>
      <c r="E210" s="11">
        <f t="shared" si="7"/>
        <v>-2.1342298786036218E-2</v>
      </c>
    </row>
    <row r="211" spans="1:5" x14ac:dyDescent="0.25">
      <c r="A211" s="66">
        <v>44026</v>
      </c>
      <c r="B211">
        <v>208.35000600000001</v>
      </c>
      <c r="C211">
        <v>10488.580078000001</v>
      </c>
      <c r="D211" s="11">
        <f t="shared" si="6"/>
        <v>6.1814794838925824E-3</v>
      </c>
      <c r="E211" s="11">
        <f t="shared" si="7"/>
        <v>9.4063844181411227E-3</v>
      </c>
    </row>
    <row r="212" spans="1:5" x14ac:dyDescent="0.25">
      <c r="A212" s="66">
        <v>44027</v>
      </c>
      <c r="B212">
        <v>208.03999300000001</v>
      </c>
      <c r="C212">
        <v>10550.490234000001</v>
      </c>
      <c r="D212" s="11">
        <f t="shared" si="6"/>
        <v>-1.4879433216814508E-3</v>
      </c>
      <c r="E212" s="11">
        <f t="shared" si="7"/>
        <v>5.9026250969715921E-3</v>
      </c>
    </row>
    <row r="213" spans="1:5" x14ac:dyDescent="0.25">
      <c r="A213" s="66">
        <v>44028</v>
      </c>
      <c r="B213">
        <v>203.91999799999999</v>
      </c>
      <c r="C213">
        <v>10473.830078000001</v>
      </c>
      <c r="D213" s="11">
        <f t="shared" si="6"/>
        <v>-1.9803860500995141E-2</v>
      </c>
      <c r="E213" s="11">
        <f t="shared" si="7"/>
        <v>-7.2660278621893282E-3</v>
      </c>
    </row>
    <row r="214" spans="1:5" x14ac:dyDescent="0.25">
      <c r="A214" s="66">
        <v>44029</v>
      </c>
      <c r="B214">
        <v>202.88000500000001</v>
      </c>
      <c r="C214">
        <v>10503.190430000001</v>
      </c>
      <c r="D214" s="11">
        <f t="shared" si="6"/>
        <v>-5.1000049539035031E-3</v>
      </c>
      <c r="E214" s="11">
        <f t="shared" si="7"/>
        <v>2.8032106480007091E-3</v>
      </c>
    </row>
    <row r="215" spans="1:5" x14ac:dyDescent="0.25">
      <c r="A215" s="66">
        <v>44032</v>
      </c>
      <c r="B215">
        <v>211.60000600000001</v>
      </c>
      <c r="C215">
        <v>10767.089844</v>
      </c>
      <c r="D215" s="11">
        <f t="shared" si="6"/>
        <v>4.2981076424953635E-2</v>
      </c>
      <c r="E215" s="11">
        <f t="shared" si="7"/>
        <v>2.5125643085193383E-2</v>
      </c>
    </row>
    <row r="216" spans="1:5" x14ac:dyDescent="0.25">
      <c r="A216" s="66">
        <v>44033</v>
      </c>
      <c r="B216">
        <v>208.75</v>
      </c>
      <c r="C216">
        <v>10680.360352</v>
      </c>
      <c r="D216" s="11">
        <f t="shared" si="6"/>
        <v>-1.3468837047197479E-2</v>
      </c>
      <c r="E216" s="11">
        <f t="shared" si="7"/>
        <v>-8.0550541749524474E-3</v>
      </c>
    </row>
    <row r="217" spans="1:5" x14ac:dyDescent="0.25">
      <c r="A217" s="66">
        <v>44034</v>
      </c>
      <c r="B217">
        <v>211.75</v>
      </c>
      <c r="C217">
        <v>10706.129883</v>
      </c>
      <c r="D217" s="11">
        <f t="shared" si="6"/>
        <v>1.4371257485029876E-2</v>
      </c>
      <c r="E217" s="11">
        <f t="shared" si="7"/>
        <v>2.4127960247308788E-3</v>
      </c>
    </row>
    <row r="218" spans="1:5" x14ac:dyDescent="0.25">
      <c r="A218" s="66">
        <v>44035</v>
      </c>
      <c r="B218">
        <v>202.53999300000001</v>
      </c>
      <c r="C218">
        <v>10461.419921999999</v>
      </c>
      <c r="D218" s="11">
        <f t="shared" si="6"/>
        <v>-4.3494720188901992E-2</v>
      </c>
      <c r="E218" s="11">
        <f t="shared" si="7"/>
        <v>-2.2856995354462284E-2</v>
      </c>
    </row>
    <row r="219" spans="1:5" x14ac:dyDescent="0.25">
      <c r="A219" s="66">
        <v>44036</v>
      </c>
      <c r="B219">
        <v>201.300003</v>
      </c>
      <c r="C219">
        <v>10363.179688</v>
      </c>
      <c r="D219" s="11">
        <f t="shared" si="6"/>
        <v>-6.1221982959187571E-3</v>
      </c>
      <c r="E219" s="11">
        <f t="shared" si="7"/>
        <v>-9.3907170090173908E-3</v>
      </c>
    </row>
    <row r="220" spans="1:5" x14ac:dyDescent="0.25">
      <c r="A220" s="66">
        <v>44039</v>
      </c>
      <c r="B220">
        <v>203.85000600000001</v>
      </c>
      <c r="C220">
        <v>10536.269531</v>
      </c>
      <c r="D220" s="11">
        <f t="shared" si="6"/>
        <v>1.2667674922985483E-2</v>
      </c>
      <c r="E220" s="11">
        <f t="shared" si="7"/>
        <v>1.6702387511472905E-2</v>
      </c>
    </row>
    <row r="221" spans="1:5" x14ac:dyDescent="0.25">
      <c r="A221" s="66">
        <v>44040</v>
      </c>
      <c r="B221">
        <v>202.020004</v>
      </c>
      <c r="C221">
        <v>10402.089844</v>
      </c>
      <c r="D221" s="11">
        <f t="shared" si="6"/>
        <v>-8.9771986565455597E-3</v>
      </c>
      <c r="E221" s="11">
        <f t="shared" si="7"/>
        <v>-1.2735027953225231E-2</v>
      </c>
    </row>
    <row r="222" spans="1:5" x14ac:dyDescent="0.25">
      <c r="A222" s="66">
        <v>44041</v>
      </c>
      <c r="B222">
        <v>204.05999800000001</v>
      </c>
      <c r="C222">
        <v>10542.940430000001</v>
      </c>
      <c r="D222" s="11">
        <f t="shared" si="6"/>
        <v>1.0097980198040313E-2</v>
      </c>
      <c r="E222" s="11">
        <f t="shared" si="7"/>
        <v>1.3540604639292075E-2</v>
      </c>
    </row>
    <row r="223" spans="1:5" x14ac:dyDescent="0.25">
      <c r="A223" s="66">
        <v>44042</v>
      </c>
      <c r="B223">
        <v>203.89999399999999</v>
      </c>
      <c r="C223">
        <v>10587.809569999999</v>
      </c>
      <c r="D223" s="11">
        <f t="shared" si="6"/>
        <v>-7.8410272257289915E-4</v>
      </c>
      <c r="E223" s="11">
        <f t="shared" si="7"/>
        <v>4.2558468671911598E-3</v>
      </c>
    </row>
    <row r="224" spans="1:5" x14ac:dyDescent="0.25">
      <c r="A224" s="66">
        <v>44043</v>
      </c>
      <c r="B224">
        <v>205.009995</v>
      </c>
      <c r="C224">
        <v>10745.269531</v>
      </c>
      <c r="D224" s="11">
        <f t="shared" si="6"/>
        <v>5.4438500866262896E-3</v>
      </c>
      <c r="E224" s="11">
        <f t="shared" si="7"/>
        <v>1.4871816494145706E-2</v>
      </c>
    </row>
    <row r="225" spans="1:5" x14ac:dyDescent="0.25">
      <c r="A225" s="66">
        <v>44046</v>
      </c>
      <c r="B225">
        <v>216.53999300000001</v>
      </c>
      <c r="C225">
        <v>10902.799805000001</v>
      </c>
      <c r="D225" s="11">
        <f t="shared" si="6"/>
        <v>5.6241150583902E-2</v>
      </c>
      <c r="E225" s="11">
        <f t="shared" si="7"/>
        <v>1.4660430205638564E-2</v>
      </c>
    </row>
    <row r="226" spans="1:5" x14ac:dyDescent="0.25">
      <c r="A226" s="66">
        <v>44047</v>
      </c>
      <c r="B226">
        <v>213.28999300000001</v>
      </c>
      <c r="C226">
        <v>10941.169921999999</v>
      </c>
      <c r="D226" s="11">
        <f t="shared" si="6"/>
        <v>-1.5008774845577832E-2</v>
      </c>
      <c r="E226" s="11">
        <f t="shared" si="7"/>
        <v>3.5192902452818586E-3</v>
      </c>
    </row>
    <row r="227" spans="1:5" x14ac:dyDescent="0.25">
      <c r="A227" s="66">
        <v>44048</v>
      </c>
      <c r="B227">
        <v>212.94000199999999</v>
      </c>
      <c r="C227">
        <v>10998.400390999999</v>
      </c>
      <c r="D227" s="11">
        <f t="shared" si="6"/>
        <v>-1.6409161774412206E-3</v>
      </c>
      <c r="E227" s="11">
        <f t="shared" si="7"/>
        <v>5.2307449210640122E-3</v>
      </c>
    </row>
    <row r="228" spans="1:5" x14ac:dyDescent="0.25">
      <c r="A228" s="66">
        <v>44049</v>
      </c>
      <c r="B228">
        <v>216.35000600000001</v>
      </c>
      <c r="C228">
        <v>11108.070313</v>
      </c>
      <c r="D228" s="11">
        <f t="shared" si="6"/>
        <v>1.6013919263511589E-2</v>
      </c>
      <c r="E228" s="11">
        <f t="shared" si="7"/>
        <v>9.971442946352882E-3</v>
      </c>
    </row>
    <row r="229" spans="1:5" x14ac:dyDescent="0.25">
      <c r="A229" s="66">
        <v>44050</v>
      </c>
      <c r="B229">
        <v>212.479996</v>
      </c>
      <c r="C229">
        <v>11010.980469</v>
      </c>
      <c r="D229" s="11">
        <f t="shared" si="6"/>
        <v>-1.7887727722087576E-2</v>
      </c>
      <c r="E229" s="11">
        <f t="shared" si="7"/>
        <v>-8.7404779826045775E-3</v>
      </c>
    </row>
    <row r="230" spans="1:5" x14ac:dyDescent="0.25">
      <c r="A230" s="66">
        <v>44053</v>
      </c>
      <c r="B230">
        <v>208.25</v>
      </c>
      <c r="C230">
        <v>10968.360352</v>
      </c>
      <c r="D230" s="11">
        <f t="shared" si="6"/>
        <v>-1.9907737573564344E-2</v>
      </c>
      <c r="E230" s="11">
        <f t="shared" si="7"/>
        <v>-3.8706922712279379E-3</v>
      </c>
    </row>
    <row r="231" spans="1:5" x14ac:dyDescent="0.25">
      <c r="A231" s="66">
        <v>44054</v>
      </c>
      <c r="B231">
        <v>203.38000500000001</v>
      </c>
      <c r="C231">
        <v>10782.820313</v>
      </c>
      <c r="D231" s="11">
        <f t="shared" si="6"/>
        <v>-2.3385330132052795E-2</v>
      </c>
      <c r="E231" s="11">
        <f t="shared" si="7"/>
        <v>-1.6915932103394815E-2</v>
      </c>
    </row>
    <row r="232" spans="1:5" x14ac:dyDescent="0.25">
      <c r="A232" s="66">
        <v>44055</v>
      </c>
      <c r="B232">
        <v>209.19000199999999</v>
      </c>
      <c r="C232">
        <v>11012.240234000001</v>
      </c>
      <c r="D232" s="11">
        <f t="shared" si="6"/>
        <v>2.8567198628989932E-2</v>
      </c>
      <c r="E232" s="11">
        <f t="shared" si="7"/>
        <v>2.1276429945086495E-2</v>
      </c>
    </row>
    <row r="233" spans="1:5" x14ac:dyDescent="0.25">
      <c r="A233" s="66">
        <v>44056</v>
      </c>
      <c r="B233">
        <v>208.699997</v>
      </c>
      <c r="C233">
        <v>11042.5</v>
      </c>
      <c r="D233" s="11">
        <f t="shared" si="6"/>
        <v>-2.3423920613566684E-3</v>
      </c>
      <c r="E233" s="11">
        <f t="shared" si="7"/>
        <v>2.7478301741523659E-3</v>
      </c>
    </row>
    <row r="234" spans="1:5" x14ac:dyDescent="0.25">
      <c r="A234" s="66">
        <v>44057</v>
      </c>
      <c r="B234">
        <v>208.89999399999999</v>
      </c>
      <c r="C234">
        <v>11019.299805000001</v>
      </c>
      <c r="D234" s="11">
        <f t="shared" si="6"/>
        <v>9.5829900754629271E-4</v>
      </c>
      <c r="E234" s="11">
        <f t="shared" si="7"/>
        <v>-2.100991170477684E-3</v>
      </c>
    </row>
    <row r="235" spans="1:5" x14ac:dyDescent="0.25">
      <c r="A235" s="66">
        <v>44060</v>
      </c>
      <c r="B235">
        <v>210.279999</v>
      </c>
      <c r="C235">
        <v>11129.730469</v>
      </c>
      <c r="D235" s="11">
        <f t="shared" si="6"/>
        <v>6.6060557186995439E-3</v>
      </c>
      <c r="E235" s="11">
        <f t="shared" si="7"/>
        <v>1.0021568153531168E-2</v>
      </c>
    </row>
    <row r="236" spans="1:5" x14ac:dyDescent="0.25">
      <c r="A236" s="66">
        <v>44061</v>
      </c>
      <c r="B236">
        <v>211.490005</v>
      </c>
      <c r="C236">
        <v>11210.839844</v>
      </c>
      <c r="D236" s="11">
        <f t="shared" si="6"/>
        <v>5.7542610127174765E-3</v>
      </c>
      <c r="E236" s="11">
        <f t="shared" si="7"/>
        <v>7.2876315581871243E-3</v>
      </c>
    </row>
    <row r="237" spans="1:5" x14ac:dyDescent="0.25">
      <c r="A237" s="66">
        <v>44062</v>
      </c>
      <c r="B237">
        <v>209.699997</v>
      </c>
      <c r="C237">
        <v>11146.459961</v>
      </c>
      <c r="D237" s="11">
        <f t="shared" si="6"/>
        <v>-8.4637947783867684E-3</v>
      </c>
      <c r="E237" s="11">
        <f t="shared" si="7"/>
        <v>-5.7426458584595164E-3</v>
      </c>
    </row>
    <row r="238" spans="1:5" x14ac:dyDescent="0.25">
      <c r="A238" s="66">
        <v>44063</v>
      </c>
      <c r="B238">
        <v>214.58000200000001</v>
      </c>
      <c r="C238">
        <v>11264.950194999999</v>
      </c>
      <c r="D238" s="11">
        <f t="shared" si="6"/>
        <v>2.3271364186047139E-2</v>
      </c>
      <c r="E238" s="11">
        <f t="shared" si="7"/>
        <v>1.0630301854990698E-2</v>
      </c>
    </row>
    <row r="239" spans="1:5" x14ac:dyDescent="0.25">
      <c r="A239" s="66">
        <v>44064</v>
      </c>
      <c r="B239">
        <v>213.020004</v>
      </c>
      <c r="C239">
        <v>11311.799805000001</v>
      </c>
      <c r="D239" s="11">
        <f t="shared" si="6"/>
        <v>-7.2700064566129097E-3</v>
      </c>
      <c r="E239" s="11">
        <f t="shared" si="7"/>
        <v>4.158883012265413E-3</v>
      </c>
    </row>
    <row r="240" spans="1:5" x14ac:dyDescent="0.25">
      <c r="A240" s="66">
        <v>44067</v>
      </c>
      <c r="B240">
        <v>213.69000199999999</v>
      </c>
      <c r="C240">
        <v>11379.719727</v>
      </c>
      <c r="D240" s="11">
        <f t="shared" si="6"/>
        <v>3.1452351301242132E-3</v>
      </c>
      <c r="E240" s="11">
        <f t="shared" si="7"/>
        <v>6.0043426484597262E-3</v>
      </c>
    </row>
    <row r="241" spans="1:5" x14ac:dyDescent="0.25">
      <c r="A241" s="66">
        <v>44068</v>
      </c>
      <c r="B241">
        <v>216.470001</v>
      </c>
      <c r="C241">
        <v>11466.469727</v>
      </c>
      <c r="D241" s="11">
        <f t="shared" si="6"/>
        <v>1.3009494941181199E-2</v>
      </c>
      <c r="E241" s="11">
        <f t="shared" si="7"/>
        <v>7.6232105957911855E-3</v>
      </c>
    </row>
    <row r="242" spans="1:5" x14ac:dyDescent="0.25">
      <c r="A242" s="66">
        <v>44069</v>
      </c>
      <c r="B242">
        <v>221.14999399999999</v>
      </c>
      <c r="C242">
        <v>11665.059569999999</v>
      </c>
      <c r="D242" s="11">
        <f t="shared" si="6"/>
        <v>2.1619591529451698E-2</v>
      </c>
      <c r="E242" s="11">
        <f t="shared" si="7"/>
        <v>1.7319179113374439E-2</v>
      </c>
    </row>
    <row r="243" spans="1:5" x14ac:dyDescent="0.25">
      <c r="A243" s="66">
        <v>44070</v>
      </c>
      <c r="B243">
        <v>226.58000200000001</v>
      </c>
      <c r="C243">
        <v>11625.339844</v>
      </c>
      <c r="D243" s="11">
        <f t="shared" si="6"/>
        <v>2.4553507335840274E-2</v>
      </c>
      <c r="E243" s="11">
        <f t="shared" si="7"/>
        <v>-3.4050169878385717E-3</v>
      </c>
    </row>
    <row r="244" spans="1:5" x14ac:dyDescent="0.25">
      <c r="A244" s="66">
        <v>44071</v>
      </c>
      <c r="B244">
        <v>228.91000399999999</v>
      </c>
      <c r="C244">
        <v>11695.629883</v>
      </c>
      <c r="D244" s="11">
        <f t="shared" si="6"/>
        <v>1.0283352367522536E-2</v>
      </c>
      <c r="E244" s="11">
        <f t="shared" si="7"/>
        <v>6.0462782114947267E-3</v>
      </c>
    </row>
    <row r="245" spans="1:5" x14ac:dyDescent="0.25">
      <c r="A245" s="66">
        <v>44074</v>
      </c>
      <c r="B245">
        <v>225.529999</v>
      </c>
      <c r="C245">
        <v>11775.459961</v>
      </c>
      <c r="D245" s="11">
        <f t="shared" si="6"/>
        <v>-1.4765649997542152E-2</v>
      </c>
      <c r="E245" s="11">
        <f t="shared" si="7"/>
        <v>6.8256330611176086E-3</v>
      </c>
    </row>
    <row r="246" spans="1:5" x14ac:dyDescent="0.25">
      <c r="A246" s="66">
        <v>44075</v>
      </c>
      <c r="B246">
        <v>227.270004</v>
      </c>
      <c r="C246">
        <v>11939.669921999999</v>
      </c>
      <c r="D246" s="11">
        <f t="shared" si="6"/>
        <v>7.7151820499055113E-3</v>
      </c>
      <c r="E246" s="11">
        <f t="shared" si="7"/>
        <v>1.3945099515760617E-2</v>
      </c>
    </row>
    <row r="247" spans="1:5" x14ac:dyDescent="0.25">
      <c r="A247" s="66">
        <v>44076</v>
      </c>
      <c r="B247">
        <v>231.64999399999999</v>
      </c>
      <c r="C247">
        <v>12056.440430000001</v>
      </c>
      <c r="D247" s="11">
        <f t="shared" si="6"/>
        <v>1.9272186927052681E-2</v>
      </c>
      <c r="E247" s="11">
        <f t="shared" si="7"/>
        <v>9.7800449060019279E-3</v>
      </c>
    </row>
    <row r="248" spans="1:5" x14ac:dyDescent="0.25">
      <c r="A248" s="66">
        <v>44077</v>
      </c>
      <c r="B248">
        <v>217.300003</v>
      </c>
      <c r="C248">
        <v>11458.099609000001</v>
      </c>
      <c r="D248" s="11">
        <f t="shared" si="6"/>
        <v>-6.1946865407645935E-2</v>
      </c>
      <c r="E248" s="11">
        <f t="shared" si="7"/>
        <v>-4.9628314797720119E-2</v>
      </c>
    </row>
    <row r="249" spans="1:5" x14ac:dyDescent="0.25">
      <c r="A249" s="66">
        <v>44078</v>
      </c>
      <c r="B249">
        <v>214.25</v>
      </c>
      <c r="C249">
        <v>11313.129883</v>
      </c>
      <c r="D249" s="11">
        <f t="shared" si="6"/>
        <v>-1.4035908687953458E-2</v>
      </c>
      <c r="E249" s="11">
        <f t="shared" si="7"/>
        <v>-1.265216143575254E-2</v>
      </c>
    </row>
    <row r="250" spans="1:5" x14ac:dyDescent="0.25">
      <c r="A250" s="66">
        <v>44082</v>
      </c>
      <c r="B250">
        <v>202.66000399999999</v>
      </c>
      <c r="C250">
        <v>10847.690430000001</v>
      </c>
      <c r="D250" s="11">
        <f t="shared" si="6"/>
        <v>-5.4095663943990679E-2</v>
      </c>
      <c r="E250" s="11">
        <f t="shared" si="7"/>
        <v>-4.1141528278518691E-2</v>
      </c>
    </row>
    <row r="251" spans="1:5" x14ac:dyDescent="0.25">
      <c r="A251" s="66">
        <v>44083</v>
      </c>
      <c r="B251">
        <v>211.28999300000001</v>
      </c>
      <c r="C251">
        <v>11141.559569999999</v>
      </c>
      <c r="D251" s="11">
        <f t="shared" si="6"/>
        <v>4.258358250106431E-2</v>
      </c>
      <c r="E251" s="11">
        <f t="shared" si="7"/>
        <v>2.7090479940991452E-2</v>
      </c>
    </row>
    <row r="252" spans="1:5" x14ac:dyDescent="0.25">
      <c r="A252" s="66">
        <v>44084</v>
      </c>
      <c r="B252">
        <v>205.36999499999999</v>
      </c>
      <c r="C252">
        <v>10919.589844</v>
      </c>
      <c r="D252" s="11">
        <f t="shared" si="6"/>
        <v>-2.8018354849394189E-2</v>
      </c>
      <c r="E252" s="11">
        <f t="shared" si="7"/>
        <v>-1.992267999873909E-2</v>
      </c>
    </row>
    <row r="253" spans="1:5" x14ac:dyDescent="0.25">
      <c r="A253" s="66">
        <v>44085</v>
      </c>
      <c r="B253">
        <v>204.029999</v>
      </c>
      <c r="C253">
        <v>10853.549805000001</v>
      </c>
      <c r="D253" s="11">
        <f t="shared" si="6"/>
        <v>-6.5247895633439024E-3</v>
      </c>
      <c r="E253" s="11">
        <f t="shared" si="7"/>
        <v>-6.0478497767282313E-3</v>
      </c>
    </row>
  </sheetData>
  <sheetCalcPr fullCalcOnLoa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18</vt:i4>
      </vt:variant>
    </vt:vector>
  </HeadingPairs>
  <TitlesOfParts>
    <vt:vector size="18" baseType="lpstr">
      <vt:lpstr>Flip sheet</vt:lpstr>
      <vt:lpstr>Dashboard</vt:lpstr>
      <vt:lpstr>Graph</vt:lpstr>
      <vt:lpstr>IS</vt:lpstr>
      <vt:lpstr>BS</vt:lpstr>
      <vt:lpstr>CFS</vt:lpstr>
      <vt:lpstr>Sales Projection</vt:lpstr>
      <vt:lpstr>CS_1</vt:lpstr>
      <vt:lpstr>Comsize</vt:lpstr>
      <vt:lpstr>Ratios</vt:lpstr>
      <vt:lpstr>RV_Price</vt:lpstr>
      <vt:lpstr>Avgpri</vt:lpstr>
      <vt:lpstr>RV_Avgprice</vt:lpstr>
      <vt:lpstr>RV_EV</vt:lpstr>
      <vt:lpstr>DCF</vt:lpstr>
      <vt:lpstr>Price_Norm</vt:lpstr>
      <vt:lpstr>Regression</vt:lpstr>
      <vt:lpstr>Beta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rvmfs</dc:creator>
  <cp:lastModifiedBy>Lenovo</cp:lastModifiedBy>
  <dcterms:created xsi:type="dcterms:W3CDTF">2020-06-14T11:07:11Z</dcterms:created>
  <dcterms:modified xsi:type="dcterms:W3CDTF">2022-11-21T20:27:56Z</dcterms:modified>
</cp:coreProperties>
</file>